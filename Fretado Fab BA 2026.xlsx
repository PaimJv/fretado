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epsico.sharepoint.com/teams/FWFbricas/Documentos Compartilhados/Feira de Santana/FRETADO/Cadastro Unificado - Fab BA FRETADO/2026/"/>
    </mc:Choice>
  </mc:AlternateContent>
  <xr:revisionPtr revIDLastSave="0" documentId="8_{DDDE1CDD-EBD5-413F-845D-D0DC7B33A88E}" xr6:coauthVersionLast="47" xr6:coauthVersionMax="47" xr10:uidLastSave="{00000000-0000-0000-0000-000000000000}"/>
  <bookViews>
    <workbookView xWindow="28690" yWindow="-110" windowWidth="24220" windowHeight="13000" firstSheet="2" activeTab="2" xr2:uid="{00000000-000D-0000-FFFF-FFFF00000000}"/>
  </bookViews>
  <sheets>
    <sheet name="OCUPAÇÃO VEICULOS Att Fev 26" sheetId="3" r:id="rId1"/>
    <sheet name="ATIVOS" sheetId="4" r:id="rId2"/>
    <sheet name="RH" sheetId="11" r:id="rId3"/>
    <sheet name="SETORES E EMPRESAS" sheetId="15" r:id="rId4"/>
    <sheet name="INATIVOS" sheetId="5" r:id="rId5"/>
    <sheet name="MOTORISTAS" sheetId="6" state="hidden" r:id="rId6"/>
    <sheet name="VEÍCULOS" sheetId="7" state="hidden" r:id="rId7"/>
    <sheet name="VEICULOS E MOTORISTAS ATIVOS" sheetId="8" state="hidden" r:id="rId8"/>
    <sheet name="DOCUMENTOS AZZAF" sheetId="10" r:id="rId9"/>
    <sheet name="Planilha1" sheetId="13" r:id="rId10"/>
    <sheet name="Planilha2" sheetId="14" r:id="rId11"/>
  </sheets>
  <definedNames>
    <definedName name="_xlnm._FilterDatabase" localSheetId="1" hidden="1">ATIVOS!$C$1:$R$125</definedName>
    <definedName name="_xlnm._FilterDatabase" localSheetId="4" hidden="1">INATIVOS!$A$1:$N$83</definedName>
    <definedName name="_xlnm._FilterDatabase" localSheetId="5" hidden="1">MOTORISTAS!$B$3:$H$26</definedName>
    <definedName name="_xlnm._FilterDatabase" localSheetId="6" hidden="1">VEÍCULOS!$B$3:$F$21</definedName>
    <definedName name="_xlnm._FilterDatabase" localSheetId="2" hidden="1">RH!$A$1:$S$116</definedName>
  </definedNames>
  <calcPr calcId="191028" calcCompleted="0"/>
  <pivotCaches>
    <pivotCache cacheId="1372" r:id="rId12"/>
    <pivotCache cacheId="137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9" i="4"/>
  <c r="J10" i="4"/>
  <c r="J11" i="4"/>
  <c r="J12" i="4"/>
  <c r="J17" i="4"/>
  <c r="J18" i="4"/>
  <c r="J19" i="4"/>
  <c r="J21" i="4"/>
  <c r="J22" i="4"/>
  <c r="J23" i="4"/>
  <c r="J24" i="4"/>
  <c r="J25" i="4"/>
  <c r="J26" i="4"/>
  <c r="J28" i="4"/>
  <c r="J30" i="4"/>
  <c r="J31" i="4"/>
  <c r="J32" i="4"/>
  <c r="J33" i="4"/>
  <c r="J34" i="4"/>
  <c r="J35" i="4"/>
  <c r="J37" i="4"/>
  <c r="J38" i="4"/>
  <c r="J39" i="4"/>
  <c r="J40" i="4"/>
  <c r="J41" i="4"/>
  <c r="J42" i="4"/>
  <c r="J43" i="4"/>
  <c r="J44" i="4"/>
  <c r="J45" i="4"/>
  <c r="J47" i="4"/>
  <c r="J48" i="4"/>
  <c r="J50" i="4"/>
  <c r="J53" i="4"/>
  <c r="J55" i="4"/>
  <c r="J56" i="4"/>
  <c r="J57" i="4"/>
  <c r="J58" i="4"/>
  <c r="J59" i="4"/>
  <c r="J60" i="4"/>
  <c r="J61" i="4"/>
  <c r="J65" i="4"/>
  <c r="J66" i="4"/>
  <c r="J67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3" i="4"/>
  <c r="J84" i="4"/>
  <c r="J85" i="4"/>
  <c r="J86" i="4"/>
  <c r="J88" i="4"/>
  <c r="J89" i="4"/>
  <c r="J90" i="4"/>
  <c r="J91" i="4"/>
  <c r="J92" i="4"/>
  <c r="J93" i="4"/>
  <c r="J94" i="4"/>
  <c r="J95" i="4"/>
  <c r="J96" i="4"/>
  <c r="J97" i="4"/>
  <c r="J98" i="4"/>
  <c r="J100" i="4"/>
  <c r="J101" i="4"/>
  <c r="J102" i="4"/>
  <c r="J103" i="4"/>
  <c r="J104" i="4"/>
  <c r="J105" i="4"/>
  <c r="J106" i="4"/>
  <c r="J108" i="4"/>
  <c r="J109" i="4"/>
  <c r="J110" i="4"/>
  <c r="J111" i="4"/>
  <c r="J112" i="4"/>
  <c r="J113" i="4"/>
  <c r="J114" i="4"/>
  <c r="J115" i="4"/>
  <c r="J116" i="4"/>
  <c r="J117" i="4"/>
  <c r="J118" i="4"/>
  <c r="J120" i="4"/>
  <c r="J121" i="4"/>
  <c r="J2" i="4"/>
  <c r="L123" i="4"/>
  <c r="L124" i="4"/>
  <c r="L120" i="4"/>
  <c r="L121" i="4"/>
  <c r="L122" i="4"/>
  <c r="L119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2" i="4"/>
  <c r="D123" i="4"/>
  <c r="D124" i="4"/>
  <c r="D61" i="4"/>
  <c r="B22" i="3" l="1" a="1"/>
  <c r="B22" i="3" s="1"/>
  <c r="D72" i="4"/>
  <c r="D73" i="4"/>
  <c r="D104" i="4"/>
  <c r="E6" i="3" l="1"/>
  <c r="F6" i="3" s="1"/>
  <c r="L2" i="4"/>
  <c r="B40" i="3" a="1"/>
  <c r="B40" i="3" s="1"/>
  <c r="B39" i="3" a="1"/>
  <c r="B39" i="3" s="1"/>
  <c r="B31" i="3" a="1"/>
  <c r="B31" i="3" s="1"/>
  <c r="B32" i="3" a="1"/>
  <c r="B32" i="3" s="1"/>
  <c r="B33" i="3" a="1"/>
  <c r="B33" i="3" s="1"/>
  <c r="B34" i="3" a="1"/>
  <c r="B34" i="3" s="1"/>
  <c r="B30" i="3" a="1"/>
  <c r="B30" i="3" s="1"/>
  <c r="B19" i="3" a="1"/>
  <c r="B19" i="3" s="1"/>
  <c r="B20" i="3" a="1"/>
  <c r="B20" i="3" s="1"/>
  <c r="B21" i="3" a="1"/>
  <c r="B21" i="3" s="1"/>
  <c r="B23" i="3" a="1"/>
  <c r="B23" i="3" s="1"/>
  <c r="B24" i="3" a="1"/>
  <c r="B24" i="3" s="1"/>
  <c r="B25" i="3" a="1"/>
  <c r="B25" i="3"/>
  <c r="B18" i="3" a="1"/>
  <c r="B18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4" i="3" a="1"/>
  <c r="B4" i="3" s="1"/>
  <c r="D26" i="3"/>
  <c r="C26" i="3"/>
  <c r="H41" i="3"/>
  <c r="H35" i="3"/>
  <c r="H26" i="3"/>
  <c r="G26" i="3"/>
  <c r="E25" i="3"/>
  <c r="F25" i="3"/>
  <c r="H14" i="3"/>
  <c r="C14" i="3" l="1"/>
  <c r="D14" i="3"/>
  <c r="G14" i="3"/>
  <c r="G35" i="3"/>
  <c r="G41" i="3"/>
  <c r="D41" i="3"/>
  <c r="C41" i="3"/>
  <c r="D35" i="3"/>
  <c r="C35" i="3"/>
  <c r="D81" i="4"/>
  <c r="D108" i="4"/>
  <c r="D34" i="4"/>
  <c r="D7" i="4"/>
  <c r="D21" i="4"/>
  <c r="D47" i="4"/>
  <c r="D82" i="4"/>
  <c r="D89" i="4"/>
  <c r="D93" i="4"/>
  <c r="D8" i="4"/>
  <c r="D37" i="4"/>
  <c r="D60" i="4"/>
  <c r="D74" i="4"/>
  <c r="D87" i="4"/>
  <c r="D110" i="4"/>
  <c r="D2" i="4"/>
  <c r="D30" i="4"/>
  <c r="D33" i="4"/>
  <c r="D35" i="4"/>
  <c r="D49" i="4"/>
  <c r="D101" i="4"/>
  <c r="D102" i="4"/>
  <c r="D103" i="4"/>
  <c r="D3" i="4"/>
  <c r="D20" i="4"/>
  <c r="D56" i="4"/>
  <c r="D59" i="4"/>
  <c r="D65" i="4"/>
  <c r="D95" i="4"/>
  <c r="D115" i="4"/>
  <c r="D71" i="4"/>
  <c r="D92" i="4"/>
  <c r="D109" i="4"/>
  <c r="D13" i="4"/>
  <c r="D29" i="4"/>
  <c r="D38" i="4"/>
  <c r="D68" i="4"/>
  <c r="D69" i="4"/>
  <c r="D88" i="4"/>
  <c r="D111" i="4"/>
  <c r="D122" i="4"/>
  <c r="D121" i="4"/>
  <c r="D75" i="4"/>
  <c r="D117" i="4"/>
  <c r="D19" i="4"/>
  <c r="D45" i="4"/>
  <c r="D66" i="4"/>
  <c r="D114" i="4"/>
  <c r="D24" i="4"/>
  <c r="D9" i="4"/>
  <c r="D54" i="4"/>
  <c r="D70" i="4"/>
  <c r="D50" i="4"/>
  <c r="D16" i="4"/>
  <c r="D63" i="4"/>
  <c r="D52" i="4"/>
  <c r="D17" i="4"/>
  <c r="D64" i="4"/>
  <c r="D10" i="4"/>
  <c r="D94" i="4"/>
  <c r="D97" i="4"/>
  <c r="D106" i="4"/>
  <c r="D53" i="4"/>
  <c r="D36" i="4"/>
  <c r="D14" i="4"/>
  <c r="D120" i="4"/>
  <c r="D78" i="4"/>
  <c r="D99" i="4"/>
  <c r="D62" i="4"/>
  <c r="D98" i="4"/>
  <c r="D27" i="4"/>
  <c r="D18" i="4"/>
  <c r="D76" i="4"/>
  <c r="D4" i="4"/>
  <c r="D58" i="4"/>
  <c r="D15" i="4"/>
  <c r="D6" i="4"/>
  <c r="D46" i="4"/>
  <c r="D11" i="4"/>
  <c r="D79" i="4"/>
  <c r="D96" i="4"/>
  <c r="D39" i="4"/>
  <c r="D105" i="4"/>
  <c r="D83" i="4"/>
  <c r="D12" i="4"/>
  <c r="D107" i="4"/>
  <c r="D113" i="4"/>
  <c r="D25" i="4"/>
  <c r="D44" i="4"/>
  <c r="D41" i="4"/>
  <c r="D55" i="4"/>
  <c r="D100" i="4"/>
  <c r="D28" i="4"/>
  <c r="D23" i="4"/>
  <c r="D91" i="4"/>
  <c r="D116" i="4"/>
  <c r="D32" i="4"/>
  <c r="D40" i="4"/>
  <c r="D26" i="4"/>
  <c r="D84" i="4"/>
  <c r="D43" i="4"/>
  <c r="D5" i="4"/>
  <c r="D90" i="4"/>
  <c r="D48" i="4"/>
  <c r="D22" i="4"/>
  <c r="D86" i="4"/>
  <c r="D42" i="4"/>
  <c r="D31" i="4"/>
  <c r="D112" i="4"/>
  <c r="D57" i="4"/>
  <c r="D118" i="4"/>
  <c r="D51" i="4"/>
  <c r="D77" i="4"/>
  <c r="D80" i="4"/>
  <c r="D85" i="4"/>
  <c r="D67" i="4"/>
  <c r="E34" i="3" l="1"/>
  <c r="F34" i="3" s="1"/>
  <c r="E24" i="3"/>
  <c r="F24" i="3" s="1"/>
  <c r="E23" i="3"/>
  <c r="E22" i="3"/>
  <c r="F22" i="3" s="1"/>
  <c r="E21" i="3"/>
  <c r="F21" i="3" s="1"/>
  <c r="E20" i="3"/>
  <c r="F20" i="3" s="1"/>
  <c r="E13" i="3"/>
  <c r="F13" i="3" s="1"/>
  <c r="F23" i="3" l="1"/>
  <c r="A96" i="5" l="1"/>
  <c r="G96" i="5"/>
  <c r="H95" i="5"/>
  <c r="E39" i="3"/>
  <c r="E40" i="3"/>
  <c r="F40" i="3" s="1"/>
  <c r="E33" i="3"/>
  <c r="F33" i="3" s="1"/>
  <c r="E32" i="3"/>
  <c r="F32" i="3" s="1"/>
  <c r="E31" i="3"/>
  <c r="F31" i="3" s="1"/>
  <c r="E30" i="3"/>
  <c r="E19" i="3"/>
  <c r="E18" i="3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5" i="3"/>
  <c r="F5" i="3" s="1"/>
  <c r="E4" i="3"/>
  <c r="F19" i="3" l="1"/>
  <c r="E26" i="3"/>
  <c r="E35" i="3"/>
  <c r="F35" i="3" s="1"/>
  <c r="E14" i="3"/>
  <c r="F14" i="3" s="1"/>
  <c r="F26" i="3"/>
  <c r="F30" i="3"/>
  <c r="F39" i="3"/>
  <c r="E41" i="3"/>
  <c r="F41" i="3" s="1"/>
  <c r="F4" i="3"/>
  <c r="F18" i="3"/>
  <c r="N6" i="8"/>
  <c r="T3" i="11"/>
  <c r="T3" i="11" a="1"/>
  <c r="T2" i="11"/>
  <c r="T2" i="11" a="1"/>
  <c r="T4" i="11"/>
  <c r="T4" i="11" a="1"/>
  <c r="T5" i="11"/>
  <c r="T5" i="11" a="1"/>
  <c r="T6" i="11"/>
  <c r="T6" i="11" a="1"/>
  <c r="T7" i="11"/>
  <c r="T7" i="11" a="1"/>
  <c r="T8" i="11"/>
  <c r="T8" i="11" a="1"/>
  <c r="T9" i="11"/>
  <c r="T9" i="11" a="1"/>
  <c r="T10" i="11"/>
  <c r="T10" i="11" a="1"/>
  <c r="T11" i="11"/>
  <c r="T11" i="11" a="1"/>
  <c r="T12" i="11"/>
  <c r="T12" i="11" a="1"/>
  <c r="T13" i="11"/>
  <c r="T13" i="11" a="1"/>
  <c r="T14" i="11"/>
  <c r="T14" i="11" a="1"/>
  <c r="T15" i="11"/>
  <c r="T15" i="11" a="1"/>
  <c r="T16" i="11"/>
  <c r="T16" i="11" a="1"/>
  <c r="T17" i="11"/>
  <c r="T17" i="11" a="1"/>
  <c r="T18" i="11"/>
  <c r="T18" i="11" a="1"/>
  <c r="T19" i="11"/>
  <c r="T19" i="11" a="1"/>
  <c r="T20" i="11"/>
  <c r="T20" i="11" a="1"/>
  <c r="T21" i="11"/>
  <c r="T21" i="11" a="1"/>
  <c r="T22" i="11"/>
  <c r="T22" i="11" a="1"/>
  <c r="T23" i="11"/>
  <c r="T23" i="11" a="1"/>
  <c r="T24" i="11"/>
  <c r="T24" i="11" a="1"/>
  <c r="T25" i="11"/>
  <c r="T25" i="11" a="1"/>
  <c r="T26" i="11"/>
  <c r="T26" i="11" a="1"/>
  <c r="T27" i="11"/>
  <c r="T27" i="11" a="1"/>
  <c r="T28" i="11"/>
  <c r="T28" i="11" a="1"/>
  <c r="T29" i="11"/>
  <c r="T29" i="11" a="1"/>
  <c r="T30" i="11"/>
  <c r="T30" i="11" a="1"/>
  <c r="T31" i="11"/>
  <c r="T31" i="11" a="1"/>
  <c r="T32" i="11"/>
  <c r="T32" i="11" a="1"/>
  <c r="T33" i="11"/>
  <c r="T33" i="11" a="1"/>
  <c r="T34" i="11"/>
  <c r="T34" i="11" a="1"/>
  <c r="T35" i="11"/>
  <c r="T35" i="11" a="1"/>
  <c r="T36" i="11"/>
  <c r="T36" i="11" a="1"/>
  <c r="T37" i="11"/>
  <c r="T37" i="11" a="1"/>
  <c r="T38" i="11"/>
  <c r="T38" i="11" a="1"/>
  <c r="T39" i="11"/>
  <c r="T39" i="11" a="1"/>
  <c r="T40" i="11"/>
  <c r="T40" i="11" a="1"/>
  <c r="T41" i="11"/>
  <c r="T41" i="11" a="1"/>
  <c r="T42" i="11"/>
  <c r="T42" i="11" a="1"/>
  <c r="T43" i="11"/>
  <c r="T43" i="11" a="1"/>
  <c r="T44" i="11"/>
  <c r="T44" i="11" a="1"/>
  <c r="T45" i="11"/>
  <c r="T45" i="11" a="1"/>
  <c r="T46" i="11"/>
  <c r="T46" i="11" a="1"/>
  <c r="T47" i="11"/>
  <c r="T47" i="11" a="1"/>
  <c r="T48" i="11"/>
  <c r="T48" i="11" a="1"/>
  <c r="T49" i="11"/>
  <c r="T49" i="11" a="1"/>
  <c r="T50" i="11"/>
  <c r="T50" i="11" a="1"/>
  <c r="T51" i="11"/>
  <c r="T51" i="11" a="1"/>
  <c r="T52" i="11"/>
  <c r="T52" i="11" a="1"/>
  <c r="T53" i="11"/>
  <c r="T53" i="11" a="1"/>
  <c r="T54" i="11"/>
  <c r="T54" i="11" a="1"/>
  <c r="T55" i="11"/>
  <c r="T55" i="11" a="1"/>
  <c r="T56" i="11"/>
  <c r="T56" i="11" a="1"/>
  <c r="T57" i="11"/>
  <c r="T57" i="11" a="1"/>
  <c r="T58" i="11"/>
  <c r="T58" i="11" a="1"/>
  <c r="T59" i="11"/>
  <c r="T59" i="11" a="1"/>
  <c r="T60" i="11"/>
  <c r="T60" i="11" a="1"/>
  <c r="T61" i="11"/>
  <c r="T61" i="11" a="1"/>
  <c r="T62" i="11"/>
  <c r="T62" i="11" a="1"/>
  <c r="T63" i="11"/>
  <c r="T63" i="11" a="1"/>
  <c r="T64" i="11"/>
  <c r="T64" i="11" a="1"/>
  <c r="T65" i="11"/>
  <c r="T65" i="11" a="1"/>
  <c r="T66" i="11"/>
  <c r="T66" i="11" a="1"/>
  <c r="T67" i="11"/>
  <c r="T67" i="11" a="1"/>
  <c r="T68" i="11"/>
  <c r="T68" i="11" a="1"/>
  <c r="T69" i="11"/>
  <c r="T69" i="11" a="1"/>
  <c r="T70" i="11"/>
  <c r="T70" i="11" a="1"/>
  <c r="T71" i="11"/>
  <c r="T71" i="11" a="1"/>
  <c r="T72" i="11"/>
  <c r="T72" i="11" a="1"/>
  <c r="T73" i="11"/>
  <c r="T73" i="11" a="1"/>
  <c r="T74" i="11"/>
  <c r="T74" i="11" a="1"/>
  <c r="T75" i="11"/>
  <c r="T75" i="11" a="1"/>
  <c r="T76" i="11"/>
  <c r="T76" i="11" a="1"/>
  <c r="T77" i="11"/>
  <c r="T77" i="11" a="1"/>
  <c r="T78" i="11"/>
  <c r="T78" i="11" a="1"/>
  <c r="T79" i="11"/>
  <c r="T79" i="11" a="1"/>
  <c r="T80" i="11"/>
  <c r="T80" i="11" a="1"/>
  <c r="T81" i="11"/>
  <c r="T81" i="11" a="1"/>
  <c r="T82" i="11"/>
  <c r="T82" i="11" a="1"/>
  <c r="T83" i="11"/>
  <c r="T83" i="11" a="1"/>
  <c r="T84" i="11"/>
  <c r="T84" i="11" a="1"/>
  <c r="T85" i="11"/>
  <c r="T85" i="11" a="1"/>
  <c r="T86" i="11"/>
  <c r="T86" i="11" a="1"/>
  <c r="T87" i="11"/>
  <c r="T87" i="11" a="1"/>
  <c r="T88" i="11"/>
  <c r="T88" i="11" a="1"/>
  <c r="T89" i="11"/>
  <c r="T89" i="11" a="1"/>
  <c r="T90" i="11"/>
  <c r="T90" i="11" a="1"/>
  <c r="T91" i="11"/>
  <c r="T91" i="11" a="1"/>
  <c r="T92" i="11"/>
  <c r="T92" i="11" a="1"/>
  <c r="T93" i="11"/>
  <c r="T93" i="11" a="1"/>
  <c r="T94" i="11"/>
  <c r="T94" i="11" a="1"/>
  <c r="T95" i="11"/>
  <c r="T95" i="11" a="1"/>
  <c r="T96" i="11"/>
  <c r="T96" i="11" a="1"/>
  <c r="T97" i="11"/>
  <c r="T97" i="11" a="1"/>
  <c r="T98" i="11"/>
  <c r="T98" i="11" a="1"/>
  <c r="T99" i="11"/>
  <c r="T99" i="11" a="1"/>
  <c r="T100" i="11"/>
  <c r="T100" i="11" a="1"/>
  <c r="T101" i="11"/>
  <c r="T101" i="11" a="1"/>
  <c r="T102" i="11"/>
  <c r="T102" i="11" a="1"/>
  <c r="T103" i="11"/>
  <c r="T103" i="11" a="1"/>
  <c r="T104" i="11"/>
  <c r="T104" i="11" a="1"/>
  <c r="T105" i="11"/>
  <c r="T105" i="11" a="1"/>
  <c r="T106" i="11"/>
  <c r="T106" i="11" a="1"/>
  <c r="T107" i="11"/>
  <c r="T107" i="11" a="1"/>
  <c r="T108" i="11"/>
  <c r="T108" i="11" a="1"/>
  <c r="T109" i="11"/>
  <c r="T109" i="11" a="1"/>
  <c r="T110" i="11"/>
  <c r="T110" i="11" a="1"/>
  <c r="T111" i="11"/>
  <c r="T111" i="11" a="1"/>
  <c r="T112" i="11"/>
  <c r="T112" i="11" a="1"/>
  <c r="T113" i="11"/>
  <c r="T113" i="11" a="1"/>
  <c r="T114" i="11"/>
  <c r="T114" i="11" a="1"/>
  <c r="T115" i="11"/>
  <c r="T115" i="11" a="1"/>
  <c r="T116" i="11"/>
  <c r="T116" i="11" a="1"/>
  <c r="B8" i="15"/>
  <c r="C8" i="15"/>
  <c r="C23" i="15"/>
  <c r="B23" i="15"/>
  <c r="C24" i="15"/>
  <c r="B2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ALMEIDA, JOAO - Contractor {PEP}</author>
  </authors>
  <commentList>
    <comment ref="A2" authorId="0" shapeId="0" xr:uid="{EB6D163F-9C28-40D6-AB3E-52F2BD692F45}">
      <text>
        <r>
          <rPr>
            <sz val="11"/>
            <color theme="1"/>
            <rFont val="Calibri"/>
            <family val="2"/>
            <scheme val="minor"/>
          </rPr>
          <t>ALMEIDA, JOAO - Contractor {PEP}:
MARCILIO: ALMOXARIFADO
JOSEANE: EXPEDIÇÃO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tc={0EAACCCE-6A43-4B44-B61B-35AC2B559726}</author>
    <author>tc={9B6DDF0F-E123-44C4-AB7F-359DC000CEF4}</author>
    <author>tc={C9F141B4-4E39-4F9F-A267-17545B18C963}</author>
  </authors>
  <commentList>
    <comment ref="F3" authorId="0" shapeId="0" xr:uid="{0EAACCCE-6A43-4B44-B61B-35AC2B5597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SOMENTE NECESSÁRIO PARA MOTORISTAS COM CARTEIRA C, D OU E. MOTORISTAS DE TÁXI UTILIZAM CATEGORIA B, ENTÃO NÃO É NECESSÁRIO REALIZAR O EXAME PERIODICAMENTE.
</t>
      </text>
    </comment>
    <comment ref="G3" authorId="1" shapeId="0" xr:uid="{9B6DDF0F-E123-44C4-AB7F-359DC000CE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EAR significa o que ?E , serve para que ? 
Reply:
    CARTEIRA PROFISSIONAL, NECESSÁRIO PARA VANS APENAS.
</t>
      </text>
    </comment>
    <comment ref="H3" authorId="2" shapeId="0" xr:uid="{C9F141B4-4E39-4F9F-A267-17545B18C9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Na legislação exige ou não o ASO ?  Entender com a AZZAF
Reply:
    SÃO PRESTADORES DE SERVIÇO POR ISSO NÃO TEM ASO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tc={95B8A781-DB78-457B-B763-106C8A7E3BF4}</author>
  </authors>
  <commentList>
    <comment ref="F3" authorId="0" shapeId="0" xr:uid="{95B8A781-DB78-457B-B763-106C8A7E3BF4}">
      <text>
        <t>[Threaded comment]
Your version of Excel allows you to read this threaded comment; however, any edits to it will get removed if the file is opened in a newer version of Excel. Learn more: https://go.microsoft.com/fwlink/?linkid=870924
Comment:
    O que significa ? E Para que serve ? 
Reply:
    SOMENTE NECESSÁRIO EM VEÍCULOS COM MAIS DE 8 PASSAGEIROS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<sst xmlns="http://schemas.openxmlformats.org/spreadsheetml/2006/main" count="4619" uniqueCount="1581">
  <si>
    <t>ATUALIZAÇÃO QUANDO HOUVER ALTERAÇÃO</t>
  </si>
  <si>
    <t xml:space="preserve"> ROTA</t>
  </si>
  <si>
    <t>VEÍCULO</t>
  </si>
  <si>
    <t xml:space="preserve">CAPACIDADE </t>
  </si>
  <si>
    <t>OCUPAÇÃO UTILIZADA</t>
  </si>
  <si>
    <t>VAGAS DISPONIVEIS</t>
  </si>
  <si>
    <t>% OCUPAÇÃO DISPONÍVEL</t>
  </si>
  <si>
    <t>TEMPO DE ROTA</t>
  </si>
  <si>
    <t xml:space="preserve">DISTÂNCIA IDA E VOLTA (KM) </t>
  </si>
  <si>
    <t>HORÁRIO DE CHEGADA FÁBRICA</t>
  </si>
  <si>
    <t>HORÁRIO SAÍDA FÁBRICA</t>
  </si>
  <si>
    <t>1ºTURNO</t>
  </si>
  <si>
    <t>TOTAL</t>
  </si>
  <si>
    <t>ADM</t>
  </si>
  <si>
    <t>2° TURNO</t>
  </si>
  <si>
    <t>HORÁRIO CHEGADA FÁBRICA</t>
  </si>
  <si>
    <t>3° TURNO</t>
  </si>
  <si>
    <t>Ativo?</t>
  </si>
  <si>
    <t>EMPRESA/SETOR</t>
  </si>
  <si>
    <t>GPID</t>
  </si>
  <si>
    <t>ROTA</t>
  </si>
  <si>
    <t>TURNO</t>
  </si>
  <si>
    <t>CARRO</t>
  </si>
  <si>
    <t>NOME ABREVIADO</t>
  </si>
  <si>
    <t>NOME COMPLETO</t>
  </si>
  <si>
    <t>EMPRESA</t>
  </si>
  <si>
    <t>CC</t>
  </si>
  <si>
    <t>DATA ADMISSAO</t>
  </si>
  <si>
    <t>ENDEREÇO COMPLETO</t>
  </si>
  <si>
    <t>RUA</t>
  </si>
  <si>
    <t>Nº</t>
  </si>
  <si>
    <t>BAIRRO</t>
  </si>
  <si>
    <t>CIDADE</t>
  </si>
  <si>
    <t>PONTO DE EMBARQUE</t>
  </si>
  <si>
    <t>REFERÊNCIA</t>
  </si>
  <si>
    <t>TELEFONE</t>
  </si>
  <si>
    <t>DATA ALTERACAO ENDERECO</t>
  </si>
  <si>
    <t>SIM</t>
  </si>
  <si>
    <t>1T</t>
  </si>
  <si>
    <t>ROTA/5</t>
  </si>
  <si>
    <t>ACACIO. C</t>
  </si>
  <si>
    <t>ACACIO LUIZ LIMA CORREIA</t>
  </si>
  <si>
    <t>PEPSICO</t>
  </si>
  <si>
    <t>R. FELIX PACHECO</t>
  </si>
  <si>
    <t>PANORAMA</t>
  </si>
  <si>
    <t>FEIRA DE SANTANA</t>
  </si>
  <si>
    <t>R. FELIX PACHECO N° 259 - RUA EM FRENTE AO PORTAL DESCARGA DE G BARBOSA</t>
  </si>
  <si>
    <t>RUA EM FRENTE AO PORTAL DESCARGA DE G BARBOSA</t>
  </si>
  <si>
    <t>ROTA/6</t>
  </si>
  <si>
    <t>ADEMILDES</t>
  </si>
  <si>
    <t>ADEMILDES DA CONCEICAO</t>
  </si>
  <si>
    <t>RUA RIO VERDE</t>
  </si>
  <si>
    <t>CONCEIÇÃO II</t>
  </si>
  <si>
    <t>RUA RIO VERDE 55 - EM FRENTE AO SALÃO NINA CABELELEIRO</t>
  </si>
  <si>
    <t>EM FRENTE AO SALÃO NINA CABELELEIRO</t>
  </si>
  <si>
    <t>2T</t>
  </si>
  <si>
    <t>ROTA/1</t>
  </si>
  <si>
    <t>ADRIANO. F</t>
  </si>
  <si>
    <t>ADRIANO MACHADO FERREIRA</t>
  </si>
  <si>
    <t>RUA AMADO BAHIA</t>
  </si>
  <si>
    <t>N/A</t>
  </si>
  <si>
    <t>RUA AMADO BAHIA EM FRENTE A IGREJA DAS TESTEMUNHAS DE JEOVÁ</t>
  </si>
  <si>
    <t>IGREJA DAS TESTEMUNHAS DE JEOVÁ</t>
  </si>
  <si>
    <t>3T</t>
  </si>
  <si>
    <t>Adriano. M</t>
  </si>
  <si>
    <t>ADRIANO DOS SANTOS MORAIS</t>
  </si>
  <si>
    <t xml:space="preserve">ESCOLA TEREZA CUNHA </t>
  </si>
  <si>
    <t>CALUMBI</t>
  </si>
  <si>
    <t>Ao lado da Escola Tereza Cunha</t>
  </si>
  <si>
    <t>ROTA/8</t>
  </si>
  <si>
    <t>ALCIDES J</t>
  </si>
  <si>
    <t>ALCIDES BARBOSA DE SOUSA JUNIOR</t>
  </si>
  <si>
    <t>RUA B</t>
  </si>
  <si>
    <t>AVIARIO</t>
  </si>
  <si>
    <t>RUA B N°41 PONTO DE APANHA EM FRENTE A IGREJA CATOLICA</t>
  </si>
  <si>
    <t>IGREJA CATOLICA</t>
  </si>
  <si>
    <t>ROTA/3</t>
  </si>
  <si>
    <t>ALEXANDRE. J</t>
  </si>
  <si>
    <t>ALEXANDRE SOUZA DE JESUS</t>
  </si>
  <si>
    <t>RUA TUIUCA</t>
  </si>
  <si>
    <t>JOÃO PAULO</t>
  </si>
  <si>
    <t>RUA TIJUCA - EM FRENTE A PIZZARIA LAPETITOSA</t>
  </si>
  <si>
    <t>EM FRENTE A PIZZARIA LAPETITOSA</t>
  </si>
  <si>
    <t>ROTA/4</t>
  </si>
  <si>
    <t>ANA PAULA DA S.</t>
  </si>
  <si>
    <t>ANA PAULA DA SILVA BRITO</t>
  </si>
  <si>
    <t>LIMGER</t>
  </si>
  <si>
    <t>BR4A006</t>
  </si>
  <si>
    <t>RUA MANTIQUEIRA</t>
  </si>
  <si>
    <t>RUA NOVA</t>
  </si>
  <si>
    <t>RUA MANTIQUEIRA, 455, PROX. AO CRAS</t>
  </si>
  <si>
    <t>PROX. AO CRAS</t>
  </si>
  <si>
    <t>ANAILDE. C</t>
  </si>
  <si>
    <t>ANAILDE CRUZ ATAIDE CARVALHO</t>
  </si>
  <si>
    <t>Avenida Artêmia Pires</t>
  </si>
  <si>
    <t>Sim</t>
  </si>
  <si>
    <t>COND. PARQUE FLORA</t>
  </si>
  <si>
    <t>ANDERSON A.</t>
  </si>
  <si>
    <t>ANDERSON DE JESUS AMARAL</t>
  </si>
  <si>
    <t>RUA SENADOR QUINTINO</t>
  </si>
  <si>
    <t>SERRARIA BRASIL</t>
  </si>
  <si>
    <t>PRAÇA DA PAQUERA</t>
  </si>
  <si>
    <t>ROTA/2</t>
  </si>
  <si>
    <t>ANDERSON. V</t>
  </si>
  <si>
    <t>ANDERSON FELIPE VENTURA DA SILVA</t>
  </si>
  <si>
    <t>RUA VITORINO FREIRE</t>
  </si>
  <si>
    <t>MANGABEIRA</t>
  </si>
  <si>
    <t>RUA VITORINO FREIRE, Nº 822 EM FRENTE AO COND: BERGAMO</t>
  </si>
  <si>
    <t>COND: BERGAMO</t>
  </si>
  <si>
    <t>ATAIDE. M</t>
  </si>
  <si>
    <t>ATAIDE DE MATOS SANTANA</t>
  </si>
  <si>
    <t>AV. SANTO ANDRE</t>
  </si>
  <si>
    <t>CASEB</t>
  </si>
  <si>
    <t>AV. SANTO ANDRE EM FRENTE AO COND: DOM RESIDENCIAL</t>
  </si>
  <si>
    <t>COND: DOM RESIDENCIAL</t>
  </si>
  <si>
    <t>CARLOS ALBERTO G.</t>
  </si>
  <si>
    <t>CARLOS ALBERTO GONÇALVES QUEIROZ</t>
  </si>
  <si>
    <t>RUA DIVAL MACHADO</t>
  </si>
  <si>
    <t>GABRIELA</t>
  </si>
  <si>
    <t>RUA DIVAL MACHADO, N° 18</t>
  </si>
  <si>
    <t>CARLOS ANTONIO G.</t>
  </si>
  <si>
    <t>CARLOS ANTONIO GONÇALVES QUEIROZ</t>
  </si>
  <si>
    <t>CLAUDIA MARIA Q.</t>
  </si>
  <si>
    <t>CLAUDIA MARIA QUEIROZ</t>
  </si>
  <si>
    <t>RUA EL SALVADOR</t>
  </si>
  <si>
    <t>FEIRA VII</t>
  </si>
  <si>
    <t>RUA EL SALVADOR, Nº 38 - CENTRO AUTOMOTIVO ANDERSON CAR</t>
  </si>
  <si>
    <t>CENTRO AUTOMOTIVO ANDERSON CAR</t>
  </si>
  <si>
    <t>CLAUDIO H.</t>
  </si>
  <si>
    <t>CLAUDIO HENRIQUE LIVEIRA SANTOS</t>
  </si>
  <si>
    <t>CWBEM</t>
  </si>
  <si>
    <t>BR5A008</t>
  </si>
  <si>
    <t xml:space="preserve">Avenida Gracindo de Freitas Medeiros </t>
  </si>
  <si>
    <t>COND. RESIDENCIAL FONTANA</t>
  </si>
  <si>
    <t>CLAUDIO R. Q. A.</t>
  </si>
  <si>
    <t>CLAUDIO HENRIQUE QUEIROZ ALVES</t>
  </si>
  <si>
    <t>RUA LEÔCIO SANTOS</t>
  </si>
  <si>
    <t>SANTA MÔNICA</t>
  </si>
  <si>
    <t>RUA ATRÁS DA SEABRA HOTEL</t>
  </si>
  <si>
    <t>ATRÁS DA SEABRA HOTELL</t>
  </si>
  <si>
    <t>CLAUDIONOR. C</t>
  </si>
  <si>
    <t>CLAUDIONOR CERQUEIRA DA COSTA</t>
  </si>
  <si>
    <t>RUA DO TELEGRAFO</t>
  </si>
  <si>
    <t>FRATERNIDADE</t>
  </si>
  <si>
    <t>RUA DO TELEGRAFO, PONTO DE APANHA EM FRENTE A IGREJA QUADRANGULAR</t>
  </si>
  <si>
    <t>IGREJA QUADRANGULAR</t>
  </si>
  <si>
    <t>ROTA/10</t>
  </si>
  <si>
    <t>CLEIDIANE. L</t>
  </si>
  <si>
    <t>CLEIDIANE DE OLIVEIRA LIMA</t>
  </si>
  <si>
    <t>RUA CORRENTES</t>
  </si>
  <si>
    <t>CAMPO LIMPO</t>
  </si>
  <si>
    <t>RUA CORRENTES, Nº 68, EM FRENTE A MERCEARIA VIDEIRA</t>
  </si>
  <si>
    <t>EM FRENTE A MERCEARIA VIDEIRA</t>
  </si>
  <si>
    <t>CRIS KELLY</t>
  </si>
  <si>
    <t>CRIS KELLY PEREIRA DA COSTA</t>
  </si>
  <si>
    <t>RUA MARAÚ</t>
  </si>
  <si>
    <t>SANTO ANTÔNIO DOS PRAZERES</t>
  </si>
  <si>
    <t>RUA MARAÚ, Nº 230 - PROX. AO PASTEL DO GALEGO</t>
  </si>
  <si>
    <t>PROX. AO PASTEL DO GALEGO</t>
  </si>
  <si>
    <t>CRISTIANE. A</t>
  </si>
  <si>
    <t>CRISTIANE SANTOS DE OLIVEIRA ARAUJO</t>
  </si>
  <si>
    <t>RUA PERIPERI</t>
  </si>
  <si>
    <t>QUEIMADINHA</t>
  </si>
  <si>
    <t>RUA PERIPERI - PROX A ESCOLA DASIS</t>
  </si>
  <si>
    <t>PROX A ESCOLA DASIS</t>
  </si>
  <si>
    <t>Dacio M</t>
  </si>
  <si>
    <t>DACIO DA CONCEICAO MACHADO</t>
  </si>
  <si>
    <t>Rua Para</t>
  </si>
  <si>
    <t>Rua Para, N° 320</t>
  </si>
  <si>
    <t>DAIANE. R</t>
  </si>
  <si>
    <t>DAIANE DE OLIVEIRA RODRIGUES</t>
  </si>
  <si>
    <t>RUA BREVES</t>
  </si>
  <si>
    <t>LIMOEIRO</t>
  </si>
  <si>
    <t>RUA BREVES, Nº 33, PONTO DE APANHA EM FRENTE A FÁBRICA DE VELAS</t>
  </si>
  <si>
    <t>FÁBRICA DE VELAS</t>
  </si>
  <si>
    <t>DAIANE X.</t>
  </si>
  <si>
    <t>DAIANE SILVA XAVIER</t>
  </si>
  <si>
    <t>RUA CAMBORIÚ</t>
  </si>
  <si>
    <t>LOCAL DE APANHA EM FRENTE A CAOA CHERY</t>
  </si>
  <si>
    <t>EM FRENTE A CAOA CHERY</t>
  </si>
  <si>
    <t>DERALDO S.</t>
  </si>
  <si>
    <t>DERALDO DOS SANTOS JUNIOR</t>
  </si>
  <si>
    <t>RUA CARLOS LADARES</t>
  </si>
  <si>
    <t>RUA CARLOS LADARES, N°. 1058 - EM FRENTE A CLINICA UNACON</t>
  </si>
  <si>
    <t>CLINICA UNACON</t>
  </si>
  <si>
    <t>Ecio. R</t>
  </si>
  <si>
    <t>ECIO CONCEICAO DOS REIS</t>
  </si>
  <si>
    <t>Rua Santos</t>
  </si>
  <si>
    <t>Rua Santos, N° 101</t>
  </si>
  <si>
    <t>EDIPO P. S.</t>
  </si>
  <si>
    <t>ÉDIPO PINHEIRO SILVA</t>
  </si>
  <si>
    <t>RUA DOUTOR MACÁRIO CERQUEIRA</t>
  </si>
  <si>
    <t>MUCHILA</t>
  </si>
  <si>
    <t>RUA DOUTOR MACÁRIO CERQUEIRA, 1147, CONDOMINIO PRINCESA DO SERTÃO</t>
  </si>
  <si>
    <t>CONDOMINIO PRINCESA DO SERTÃO</t>
  </si>
  <si>
    <t>EDMILSON. L</t>
  </si>
  <si>
    <t>EDMILSON LOPES DE OLIVEIRA</t>
  </si>
  <si>
    <t>PRAÇA DO LIMOEIRO</t>
  </si>
  <si>
    <t>PRAÇA DO LIMOEIRO, EM FRENTE AO MERCADO MUNICIPAL</t>
  </si>
  <si>
    <t>MERCADO MUNICIPAL</t>
  </si>
  <si>
    <t>EDINEIDE DA S.</t>
  </si>
  <si>
    <t>EDNEIDE DA SILVA TITO</t>
  </si>
  <si>
    <t>RUA AEROLINHA ESPANHA</t>
  </si>
  <si>
    <t>GEORGE AMERICO</t>
  </si>
  <si>
    <t>RUA AEROLINHA ESPANHA, N° 80, PROX: POLICLINICA DE GEORGE AMERICO</t>
  </si>
  <si>
    <t>PROX: POLICLINICA DE GEORGE AMERICO</t>
  </si>
  <si>
    <t>EDUARDO S.</t>
  </si>
  <si>
    <t>EDUARDO DE ALMEIDA SILVA</t>
  </si>
  <si>
    <t>RUA SEIS</t>
  </si>
  <si>
    <t>RUA SEIS, N° 7 - COM.J ELZA AZEVEDO</t>
  </si>
  <si>
    <t>COM.J ELZA AZEVEDO</t>
  </si>
  <si>
    <t>Edvan. B</t>
  </si>
  <si>
    <t>EDVAN SOUZA SANTA BARBARA</t>
  </si>
  <si>
    <t>Rua Camboriú</t>
  </si>
  <si>
    <t>Rua Camboriú,N° 50, Ponto de apanha em frente a concessionaria Chery</t>
  </si>
  <si>
    <t>Atras do Shopping Avenida</t>
  </si>
  <si>
    <t>ELAINE. G</t>
  </si>
  <si>
    <t>ELAINE BATISTA GONCALVES LIMA</t>
  </si>
  <si>
    <t>RUA PROFª. ELISA FERNANDES</t>
  </si>
  <si>
    <t>RUA PROFª. ELISA FERNANDES,Nº 23, PONTO DE APANHA BARBEARIA JB</t>
  </si>
  <si>
    <t>BARBEARIA JB</t>
  </si>
  <si>
    <t>ELIANA. A</t>
  </si>
  <si>
    <t>ELIANA DE ALMEIDA OLIVEIRA</t>
  </si>
  <si>
    <t>RUA PROJETADA</t>
  </si>
  <si>
    <t>RUA PROJETADA, N° 27 - RUA LATERAL DO USF PANORAMA 3</t>
  </si>
  <si>
    <t>RUA LATERAL DO USF PANORAMA 3</t>
  </si>
  <si>
    <t>ELIAS. F</t>
  </si>
  <si>
    <t>ELIAS MOREIRA DA FONSECA</t>
  </si>
  <si>
    <t>PRAÇA SÃO ROQUE</t>
  </si>
  <si>
    <t>MATINHA</t>
  </si>
  <si>
    <t>ELICELIA. C</t>
  </si>
  <si>
    <t>ELICELIA CAMPOS SANTOS</t>
  </si>
  <si>
    <t>RESIDENCIAL MORADA FELIZ, RUA 1</t>
  </si>
  <si>
    <t>RESIDENCIAL MORADA FELIZ, RUA 1, PONTO DE APANHA EM FRENTE A FABRICA VIVA NATUREZA</t>
  </si>
  <si>
    <t>EM FRENTE A FABRICA VIVA NATUREZA</t>
  </si>
  <si>
    <t>ADM ESPECIAL</t>
  </si>
  <si>
    <t>ELINE P.</t>
  </si>
  <si>
    <t>ELINE PEREIRA ALVES</t>
  </si>
  <si>
    <t>RUA AEROLINA ESPANHA</t>
  </si>
  <si>
    <t>IGREJA ARCA DA ALIANÇA, EM FRENTE AO MERCADINHO DE DETE</t>
  </si>
  <si>
    <t>ELIOMAR. P</t>
  </si>
  <si>
    <t>ELIOMAR CARVALHO DA PAIXAO</t>
  </si>
  <si>
    <t>AV. RUBENS DE CARVALHO</t>
  </si>
  <si>
    <t>VILA OLIMPIA</t>
  </si>
  <si>
    <t>AV. RUBENS DE CARVALHO, N° 265, EM FRENTE AO COND. SÃO BENTO</t>
  </si>
  <si>
    <t>EM FRENTE AO COND. SÃO BENTO</t>
  </si>
  <si>
    <t>EMANUEL A.</t>
  </si>
  <si>
    <t>EMANUEL ALMEIDA DE LIMA</t>
  </si>
  <si>
    <t>RUA ALTO DE SANTANA</t>
  </si>
  <si>
    <t>RUA ALTO DE SANTANA EM FRENTE AO MERCADO 3 IRMÃO</t>
  </si>
  <si>
    <t>EM FRENTE AO MERCADO 3 IRMÃO</t>
  </si>
  <si>
    <t>EMANUELLA S.</t>
  </si>
  <si>
    <t>EMANUELA BATISTA SANTOS</t>
  </si>
  <si>
    <t>RUA QUINTANDUBA</t>
  </si>
  <si>
    <t>CONCEIÇÃO I</t>
  </si>
  <si>
    <t>RUA QUINTANDUBA 103 EM FRENTE AO MERCADINHO FAMILIA SOUZA</t>
  </si>
  <si>
    <t>MERCADINHO FAMILIA SOUZA</t>
  </si>
  <si>
    <t>ESMERALDA. M</t>
  </si>
  <si>
    <t>ESMERALDA MARTINS DO NASCIMENTO MAGALHAES</t>
  </si>
  <si>
    <t>RUA J</t>
  </si>
  <si>
    <t>CIDADE NOVA</t>
  </si>
  <si>
    <t>RUA J, N° 26,PONTO DE APANHA BARATA MOTO PEÇAS</t>
  </si>
  <si>
    <t>BARATA MOTO PEÇAS</t>
  </si>
  <si>
    <t>FERNANDO. M</t>
  </si>
  <si>
    <t>FERNANDO DA SILVA MOREIRA</t>
  </si>
  <si>
    <t>RUA ESPAÇO SIDERAL</t>
  </si>
  <si>
    <t>AMELIA RODRIGUES</t>
  </si>
  <si>
    <t>RUA ESPAÇO SIDERAL, Nº 15</t>
  </si>
  <si>
    <t>A CASA DA FAZENDA</t>
  </si>
  <si>
    <t>Fernando. G</t>
  </si>
  <si>
    <t>FERNANDO GONCALVES ALVES</t>
  </si>
  <si>
    <t>CENTRO ESTADUAL DE EDUCAÇÃO PROFISSIONAL ÁUREO DE OLIVEIRA FILHO</t>
  </si>
  <si>
    <t>Em frente ao Centro Estadual de Educação Profissional Aureo de Oliveira Filho</t>
  </si>
  <si>
    <t>Forlan R.</t>
  </si>
  <si>
    <t>FORLAN RIBEIRO CARDOSO</t>
  </si>
  <si>
    <t>Rua Irece</t>
  </si>
  <si>
    <t>JARDIM CRUZEIRO</t>
  </si>
  <si>
    <t>Rua Irece, N° 35</t>
  </si>
  <si>
    <t>Drogaria Brito</t>
  </si>
  <si>
    <t>FRANCISCA. L</t>
  </si>
  <si>
    <t>FRANCISCA ERLIANE DE LIMA</t>
  </si>
  <si>
    <t>RUA SÃO CRISTOVÃO</t>
  </si>
  <si>
    <t>RUA SÃO CRISTOVÃO, 351 - REF. PRÉDIO AZUL MARINHO</t>
  </si>
  <si>
    <t>PRÉDIO AZUL MARINHO</t>
  </si>
  <si>
    <t>FRANCISCO A.</t>
  </si>
  <si>
    <t>FRANCISCO DE ASSIS SILVA MAGALHAES</t>
  </si>
  <si>
    <t>RUA DA AVIAÇÃO</t>
  </si>
  <si>
    <t>RUA DA AVIAÇÃO, Nº 565</t>
  </si>
  <si>
    <t>GABRIEL O.</t>
  </si>
  <si>
    <t>GABRIEL OLIVEIRA DE CARVALHO</t>
  </si>
  <si>
    <t>AV. IGUATEMI</t>
  </si>
  <si>
    <t>AV. IGUATEMI, 528, PROX. AO MERCADINHO CARIOCA</t>
  </si>
  <si>
    <t>MERCADINHO CARIOCA</t>
  </si>
  <si>
    <t>GABRIELLE CASAES SANTANA</t>
  </si>
  <si>
    <t>RUA DESEMBARGADOR RAYMUNDO CARNEIRO PINTO</t>
  </si>
  <si>
    <t>RUA DESEMBARGADOR RAYMUNDO CARNEIRO PINTO, Nº 66</t>
  </si>
  <si>
    <t>Gean Fonseca</t>
  </si>
  <si>
    <t>GEAN CLEBERSON MOTA DA FONSECA</t>
  </si>
  <si>
    <t>Rua Corunha</t>
  </si>
  <si>
    <t>Rua Corunha, N° 296</t>
  </si>
  <si>
    <t>GILSON DOS S.</t>
  </si>
  <si>
    <t>GILSON DOS SANTOS SILVA</t>
  </si>
  <si>
    <t>RUA EL SALVador, N° 2543 - SUPERMERCADO LIMA</t>
  </si>
  <si>
    <t>SUPERMERCADO LIMA</t>
  </si>
  <si>
    <t>IASMIM L.</t>
  </si>
  <si>
    <t>IASMIM DE ALMEIDA LIMA</t>
  </si>
  <si>
    <t>RUA ALMEIDA DAS ARVORES</t>
  </si>
  <si>
    <t>EM FRENTE AO MERCADINHO ARMAZÉM</t>
  </si>
  <si>
    <t>IRACI MARIA DE J.</t>
  </si>
  <si>
    <t>IRACI MARIA DE JESUS</t>
  </si>
  <si>
    <t>RUA MOGI DAS CRUZES</t>
  </si>
  <si>
    <t>RUA MOGI DAS CRUZES, AO LADO DO COLÉGIO JUIZ JORGE FARIAS GOES</t>
  </si>
  <si>
    <t>AO LADO DO COLÉGIO JUIZ JORGE FARIAS GOES</t>
  </si>
  <si>
    <t>ISAIAS DE JESUS</t>
  </si>
  <si>
    <t>RUA QUINTO</t>
  </si>
  <si>
    <t>FUNDO DO POSTO DE GASOLINA JG</t>
  </si>
  <si>
    <t>ISMAEL. P</t>
  </si>
  <si>
    <t>ISMAEL PORTUGAL DE ALMEIDA</t>
  </si>
  <si>
    <t>RUA TERESOPOLIS II</t>
  </si>
  <si>
    <t>FUNDO DO SENAI</t>
  </si>
  <si>
    <t>ITALO S.</t>
  </si>
  <si>
    <t>ITALO ANDRADE SOUSA</t>
  </si>
  <si>
    <t>MANPOWER</t>
  </si>
  <si>
    <t>BR4A004</t>
  </si>
  <si>
    <t>IVANILDO. F</t>
  </si>
  <si>
    <t>IVANILDO FERREIRA DOS SANTOS NASCIMENTO</t>
  </si>
  <si>
    <t>RUA GENÉSIO MOREIRA</t>
  </si>
  <si>
    <t>HUMILDES</t>
  </si>
  <si>
    <t>RUA GENÉSIO MOREIRA N°283</t>
  </si>
  <si>
    <t>A IGREJA NOVA DE CRISTO</t>
  </si>
  <si>
    <t>JADNA A.</t>
  </si>
  <si>
    <t>JADNA ALMEIDA ESTRELA</t>
  </si>
  <si>
    <t>RUA DO ROSARIO</t>
  </si>
  <si>
    <t>RUA DO ROSARIO, Nº 100, EM FRENTE AO CONDOMINIO IDEALE GIARDINI, REF:AÇOUGUE REI DO GADO</t>
  </si>
  <si>
    <t>AÇOUGUE REI DO GADO</t>
  </si>
  <si>
    <t>Jadson. S</t>
  </si>
  <si>
    <t>JADSON DE JESUS SANTANA</t>
  </si>
  <si>
    <t>Rua Isaias Gonçalves</t>
  </si>
  <si>
    <t>TOMBA</t>
  </si>
  <si>
    <t>Rua Isaias Gonçalves, N° 227</t>
  </si>
  <si>
    <t>Prox: A Paróquia</t>
  </si>
  <si>
    <t>JEANDERSON. N</t>
  </si>
  <si>
    <t>JEANDERSON BATISTA NASCIMENTO</t>
  </si>
  <si>
    <t>JEFERSON A.</t>
  </si>
  <si>
    <t>JEFERSON DO AMARAL SANTOS</t>
  </si>
  <si>
    <t>AV. ANTONIO RIBEIRO MARQUES</t>
  </si>
  <si>
    <t>AV. ANTONIO RIBEIRO MARQUES, PONTO DE APANHA EM FRENTE AO COND: RESERVA IBIRAPUERA</t>
  </si>
  <si>
    <t>EM FRENTE AO COND: RESERVA IBIRAPUERA</t>
  </si>
  <si>
    <t>JENIVALDO. S</t>
  </si>
  <si>
    <t>JENIVALDO DE JESUS DA SILVA</t>
  </si>
  <si>
    <t>RUA B, CAMINHO E16</t>
  </si>
  <si>
    <t>FEIRA X</t>
  </si>
  <si>
    <t>RUA B, CAMINHO E16, N° 11</t>
  </si>
  <si>
    <t>JOACI S.</t>
  </si>
  <si>
    <t>JOACI SANTOS DA SILVA</t>
  </si>
  <si>
    <t>RUA CATOLÉ DA ROCHA</t>
  </si>
  <si>
    <t>POSTO DE COMBUSTIVEL SANTA FÉ</t>
  </si>
  <si>
    <t>ROTA/7</t>
  </si>
  <si>
    <t>JOÃO ROBERTO DE S.</t>
  </si>
  <si>
    <t>JOÃO ROBERTO DE SENA GOMES</t>
  </si>
  <si>
    <t>Rua do Mercado</t>
  </si>
  <si>
    <t>EM FRENTE AO MERCADO MUNICIPAL</t>
  </si>
  <si>
    <t>JORGE MANOEL</t>
  </si>
  <si>
    <t xml:space="preserve">JORGE MANOEL DOS SANTOS </t>
  </si>
  <si>
    <t>NOVA PRAÇA CONCEIÇÃO II</t>
  </si>
  <si>
    <t>JOSE DE JESUS A.</t>
  </si>
  <si>
    <t>JOSE DE JESUS ALMEIDA FILHO</t>
  </si>
  <si>
    <t>RUA E</t>
  </si>
  <si>
    <t>MERCADINHO AV</t>
  </si>
  <si>
    <t>JOSE P.</t>
  </si>
  <si>
    <t>JOSE PHILIPE DE JESUS PINTO</t>
  </si>
  <si>
    <t>RUA VITORINO FREIRE, Nº 426</t>
  </si>
  <si>
    <t>JOSEANE. B</t>
  </si>
  <si>
    <t>JOSEANE BASTOS DOS SANTOS</t>
  </si>
  <si>
    <t>RUA C</t>
  </si>
  <si>
    <t>RUA C, Nº 345 PROX: AO MERCADO BIG ECONOMICO OU MERCADO FILÉ</t>
  </si>
  <si>
    <t>PROX: AO MERCADO BIG ECONOMICO OU MERCADO FILÉ</t>
  </si>
  <si>
    <t>JOSEMIR. C</t>
  </si>
  <si>
    <t>JOSEMIR BORGES DE CARVALHO</t>
  </si>
  <si>
    <t>RUA GENÉSIO MOREIRA N° 283 - PROX. A IGREJA NOVA DE CRISTO</t>
  </si>
  <si>
    <t>PROX. A IGREJA NOVA DE CRISTO</t>
  </si>
  <si>
    <t>JOSENICE S.</t>
  </si>
  <si>
    <t>JOSENICE SANTOS DA CRUZ</t>
  </si>
  <si>
    <t>RUA PROFª MARIA DA GLORIA DE JESUS</t>
  </si>
  <si>
    <t>RUA PROFª MARIA DA GLORIA DE JESUS, N° 61, REF: MERCADINHO DONA JO</t>
  </si>
  <si>
    <t>MERCADINHO DONA JO</t>
  </si>
  <si>
    <t>JULIANA A.</t>
  </si>
  <si>
    <t>JULIANA ALVES CIRIACO DOS SANTOS</t>
  </si>
  <si>
    <t>RUA GENÉSIO SERAFIM DE LIMA</t>
  </si>
  <si>
    <t>RUA GENÉSIO SERAFIM DE LIMA, N° 17, REF: DEPOSITO DE BEBIDAS JUNIOR CROSS</t>
  </si>
  <si>
    <t>DEPOSITO DE BEBIDAS JUNIOR CROSS</t>
  </si>
  <si>
    <t>KATARYNA A.</t>
  </si>
  <si>
    <t>KATARYNNA SANTOS DE ARAUJO</t>
  </si>
  <si>
    <t>Avenida Antônio Ribeiro Marques</t>
  </si>
  <si>
    <t>Registro</t>
  </si>
  <si>
    <t>COND. RESERVA BUZIOS</t>
  </si>
  <si>
    <t>LAILSON. C</t>
  </si>
  <si>
    <t>LAILSON DO CARMO DE SAO JOSE</t>
  </si>
  <si>
    <t>Avenida Domício Alves de Andrade</t>
  </si>
  <si>
    <t>Avenida Domício Alves de Andrade, 39. Referência depois da embasa</t>
  </si>
  <si>
    <t>Depois da embasa</t>
  </si>
  <si>
    <t>LEANDRO. B</t>
  </si>
  <si>
    <t>LEANDRO BARBOSA SOUZA</t>
  </si>
  <si>
    <t>RUA DO ROSARIO, Nº 100,  EM FRENTE AO CONDOMINIO IDEALE GIARDINI</t>
  </si>
  <si>
    <t>LEANDRO. S</t>
  </si>
  <si>
    <t>LEANDRO SANTOS DA SILVA</t>
  </si>
  <si>
    <t>RUA DANTAS</t>
  </si>
  <si>
    <t>EUCALIPTO</t>
  </si>
  <si>
    <t>RUA DANTAS, 91 - PROX.AO COWBOY DO ASFALTO</t>
  </si>
  <si>
    <t>PROX.AO COWBOY DO ASFALTO</t>
  </si>
  <si>
    <t>LEILA. C</t>
  </si>
  <si>
    <t>LEILA MIRELLA SOUSA SANTOS COSTA</t>
  </si>
  <si>
    <t>RUA PILAR DO SUL</t>
  </si>
  <si>
    <t>BRASILIA</t>
  </si>
  <si>
    <t>RUA PILAR DO SUL, N° 1124 PONTO DE APANHA: RUA EM FRENTE A FEIRA TAXI</t>
  </si>
  <si>
    <t>RUA EM FRENTE A FEIRA TAXI</t>
  </si>
  <si>
    <t>ROTA/9</t>
  </si>
  <si>
    <t>LEONARDO. S</t>
  </si>
  <si>
    <t>LEONARDO DA SILVA SANTOS</t>
  </si>
  <si>
    <t>AV. CAZUMBA</t>
  </si>
  <si>
    <t>SÃO GONÇALO DOS CAMPOS</t>
  </si>
  <si>
    <t>AV. CAZUMBA EM FRENTE A SERRALHERIA SANTO ANTONIO</t>
  </si>
  <si>
    <t>EM FRENTE A SERRALHERIA SANTO ANTONIO</t>
  </si>
  <si>
    <t>LHAIS. A</t>
  </si>
  <si>
    <t>LHAIS SILVA DOS ANJOS</t>
  </si>
  <si>
    <t>LUAN. B</t>
  </si>
  <si>
    <t>LUAN BENICIO BANDEIRA PINTO</t>
  </si>
  <si>
    <t>PRAÇA QUATRO</t>
  </si>
  <si>
    <t>PRAÇA QUATRO, N° 01, PROX: AO COLEGIO LUIZ VIANA</t>
  </si>
  <si>
    <t>PROX: AO COLEGIO LUIZ VIANA</t>
  </si>
  <si>
    <t>LUCAS DE O. R.</t>
  </si>
  <si>
    <t>LUCAS DE OLIVEIRA RODRIGUES</t>
  </si>
  <si>
    <t>RUA MATO GROSSO</t>
  </si>
  <si>
    <t>RUA MATO GROSSO Nº 50</t>
  </si>
  <si>
    <t>PRIMEIRA DIREITA, APÓS A ASSEMBLEIA DA RUA DA ALEGRIA</t>
  </si>
  <si>
    <t>LUCIANE. L</t>
  </si>
  <si>
    <t>LUCIANE LIMA</t>
  </si>
  <si>
    <t>JARDIM EUROPA</t>
  </si>
  <si>
    <t>EM FRENTE AO COND: BERGAMO</t>
  </si>
  <si>
    <t>LUIS ROGERIO. S. S.</t>
  </si>
  <si>
    <t>LUIS ROGERIO SOARES SANTANA</t>
  </si>
  <si>
    <t>EM FRENTE AO MOTEL SCALA</t>
  </si>
  <si>
    <t>LUIZ E.</t>
  </si>
  <si>
    <t>LUIZ EDUARDO DE OLIVEIRA SANTOS</t>
  </si>
  <si>
    <t>RUA PRINCIPAL DO LIMOEIRO</t>
  </si>
  <si>
    <t>15-A</t>
  </si>
  <si>
    <t>RUA PRINCIPAL DO LIMOEIRO 15-A PONTO DE APANHA : OFICINA LULA BIKE</t>
  </si>
  <si>
    <t>OFICINA LULA BIKE</t>
  </si>
  <si>
    <t>MAIARA S.</t>
  </si>
  <si>
    <t>MAIARA SANTOS DE JESUS</t>
  </si>
  <si>
    <t>RUA A, RUA ALEXANDRE BAHIA</t>
  </si>
  <si>
    <t>RUA A, RUA ALEXANDRE BAHIA PROX: GINASIO DE ESPORTE</t>
  </si>
  <si>
    <t>GINASIO DE ESPORTE</t>
  </si>
  <si>
    <t>MARCILIO. N</t>
  </si>
  <si>
    <t>MARCILIO NERI DE SOUZA</t>
  </si>
  <si>
    <t>RUA CHARLETON</t>
  </si>
  <si>
    <t>RUA CHARLETON, N.º339, REF.: PROX.: AO COND.: ASTECA</t>
  </si>
  <si>
    <t>COND.: ASTECA</t>
  </si>
  <si>
    <t>Marcio R.</t>
  </si>
  <si>
    <t>MARCIO REIS DE OLIVEIRA JUNIOR</t>
  </si>
  <si>
    <t>Rua Nova Iguaçu</t>
  </si>
  <si>
    <t>Rua Nova Iguaçu, N° 114</t>
  </si>
  <si>
    <t>Em frente a Barbearia Jhon Mattos</t>
  </si>
  <si>
    <t>MARCOS W.</t>
  </si>
  <si>
    <t>MARCOS WELINGTON VIANA MENEZES</t>
  </si>
  <si>
    <t>RUA INTENDENTE ABDON</t>
  </si>
  <si>
    <t xml:space="preserve">RUA INTENDENTE ABDON, 380 - EM FRENTE AO ABATEODOURO DA ROSY </t>
  </si>
  <si>
    <t>EM FRENTE AO ABATEODOURO DA ROSY</t>
  </si>
  <si>
    <t>Marcus B.</t>
  </si>
  <si>
    <t>MARCUS VINICIUS DE OLIVEIRA BEIRAO</t>
  </si>
  <si>
    <t>Rua Santa Luzia</t>
  </si>
  <si>
    <t>SÃO JOÃO</t>
  </si>
  <si>
    <t>Rua Santa Luzia, N° 19, Ponto de apanha</t>
  </si>
  <si>
    <t>Fundo do API</t>
  </si>
  <si>
    <t>MARIA A.</t>
  </si>
  <si>
    <t>MARIA ANGELICA DO AMARAL BARBOSA</t>
  </si>
  <si>
    <t>AV. SENADOR QUINTINO</t>
  </si>
  <si>
    <t>OLHOS D'ÁGUA</t>
  </si>
  <si>
    <t>AV. SENADOR QUINTINO, N°792</t>
  </si>
  <si>
    <t>MARIA V.</t>
  </si>
  <si>
    <t>MARIA VERBENA SANTOS LIMA</t>
  </si>
  <si>
    <t>LOTEAMENTO AMARALINA - CAMINHO 10</t>
  </si>
  <si>
    <t>CASA 25</t>
  </si>
  <si>
    <t>LOTEAMENTO AMARALINA - CAMINHO 10 CASA 25 - PROXIMO A MERCEARIA DISNORMAL DRINK'S</t>
  </si>
  <si>
    <t>PROXIMO A MERCEARIA DISNORMAL DRINK'S</t>
  </si>
  <si>
    <t>MARIANA. S.</t>
  </si>
  <si>
    <t>MARIANA SILVA DOS ANJOS</t>
  </si>
  <si>
    <t>RUA TOCANTINS</t>
  </si>
  <si>
    <t>RUA TOCANTINS, N° 423</t>
  </si>
  <si>
    <t>Mario.A</t>
  </si>
  <si>
    <t>MARIO ANDERSON SANTANA CARNEIRO</t>
  </si>
  <si>
    <t>Rua Ibicui</t>
  </si>
  <si>
    <t>Rua Ibicui, N° 179</t>
  </si>
  <si>
    <t>MAXSUEL</t>
  </si>
  <si>
    <t>MAXSUEL COSTA DE SANT ANA</t>
  </si>
  <si>
    <t>RUA CONSTITUINTE</t>
  </si>
  <si>
    <t>RUA CONSTITUINTE N° 23, REF.: MATERIAL DE CONSTRUÇÃO CONSTRUFEIRA</t>
  </si>
  <si>
    <t>MATERIAL DE CONSTRUÇÃO CONSTRUFEIRA</t>
  </si>
  <si>
    <t>MIRABELLE. N</t>
  </si>
  <si>
    <t>MIRABELE CERQUEIRA SANTANA NASCIMENTO</t>
  </si>
  <si>
    <t>AO LADO DA IGREJA ASSEMBLEIA DE DEUS - R. JAILDO CUNHA DE JESUS</t>
  </si>
  <si>
    <t>CONCEIÇÃO DO JACUIPE</t>
  </si>
  <si>
    <t>AO LADO DA IGREJA ASSEMBLEIA DE DEUS - R. JAILDO CUNHA DE JESUS 69 - LOT. JOEL CAETANO</t>
  </si>
  <si>
    <t>LOT. JOEL CAETANO</t>
  </si>
  <si>
    <t>MIRIAN. R</t>
  </si>
  <si>
    <t>MIRIAN RANGEL SILVA SANTANA</t>
  </si>
  <si>
    <t>RUA TUIUCA - EM FRENTE A IGREJA BATISTA PALAVRA DA VIDA</t>
  </si>
  <si>
    <t>EM FRENTE A IGREJA BATISTA PALAVRA DA VIDA</t>
  </si>
  <si>
    <t>NEY. R</t>
  </si>
  <si>
    <t>NEY DE OLIVEIRA RAMOS</t>
  </si>
  <si>
    <t>RUA VASCO FILHO</t>
  </si>
  <si>
    <t>PROX: AO PONTO DO FRANGO</t>
  </si>
  <si>
    <t>NYLTON. J</t>
  </si>
  <si>
    <t>NYLTON SOUSA JUNIOR</t>
  </si>
  <si>
    <t>COND. VIVACE PAPAGAIO</t>
  </si>
  <si>
    <t>PAPAGAIO</t>
  </si>
  <si>
    <t>PAULO R.</t>
  </si>
  <si>
    <t>PAULO ROBERTO PALMEIRA DA SILVA</t>
  </si>
  <si>
    <t>RUA 7, JARDIM EUROPA</t>
  </si>
  <si>
    <t>RUA 7, Nº 145 JARDIM EUROPA, PONTO DE APANHA EM FRENTE A PRAÇA</t>
  </si>
  <si>
    <t>A PRAÇA</t>
  </si>
  <si>
    <t>RAILANE. B</t>
  </si>
  <si>
    <t>RAILANE SANTOS BRITO</t>
  </si>
  <si>
    <t>RUA DA PAZ</t>
  </si>
  <si>
    <t>PROX: A QUITANDA DA MADEIRA</t>
  </si>
  <si>
    <t>RAIMUNDO. O</t>
  </si>
  <si>
    <t>RAIMUNDO DE OLIVEIRA DUARTE</t>
  </si>
  <si>
    <t>CONDOMINIO CENTRAL PARK</t>
  </si>
  <si>
    <t>REGILSON CARLOS O.</t>
  </si>
  <si>
    <t>REGILSON CARLOS OLIVEIRA</t>
  </si>
  <si>
    <t>REGINALDO. C</t>
  </si>
  <si>
    <t>REGINALDO CERQUEIRA SANTIAGO</t>
  </si>
  <si>
    <t>RUA TELES</t>
  </si>
  <si>
    <t>RUA TELES, Nº 170, PONTO DE APANHA EM FRENTE AO ARMADINHO LN VARIEDADES</t>
  </si>
  <si>
    <t>ARMADINHO LN VARIEDADES</t>
  </si>
  <si>
    <t>REIJANE A</t>
  </si>
  <si>
    <t>REIJANE ARAUJO DA SILVA</t>
  </si>
  <si>
    <t>RUA SALMO VINTE E QUATRO</t>
  </si>
  <si>
    <t>RUA SALMO VINTE E QUATRO, N° 05, ATRÁS DO MERCADO DO POVO</t>
  </si>
  <si>
    <t>ATRÁS DO MERCADO DO POVO</t>
  </si>
  <si>
    <t>RENATA B.</t>
  </si>
  <si>
    <t>RENATA BARBOSA DOS SANTOS LEMOS</t>
  </si>
  <si>
    <t>RUA SALMO 40</t>
  </si>
  <si>
    <t>RUA SALMO 40, CONJ. FRATERNIDADE</t>
  </si>
  <si>
    <t>CONJ. FRATERNIDADE</t>
  </si>
  <si>
    <t>RENATO J.</t>
  </si>
  <si>
    <t>RENATO DE JESUS LACERDA</t>
  </si>
  <si>
    <t>RUA LEOGEVILDO LACERDA</t>
  </si>
  <si>
    <t>RUA LEOGEVILDO LACERDA, N° 500, REF: PROX. A ANTIGA CRECHE AMA</t>
  </si>
  <si>
    <t>PROX. A ANTIGA CRECHE AMA</t>
  </si>
  <si>
    <t>ROBSON. C</t>
  </si>
  <si>
    <t>ROBSON SANTOS COSTA</t>
  </si>
  <si>
    <t>RUA GRACIANE DIAS</t>
  </si>
  <si>
    <t>LIBERDADE</t>
  </si>
  <si>
    <t>RUA GRACIANE DIAS, Nº 113, PROX: MERCADINHO JERUSALEM</t>
  </si>
  <si>
    <t>MERCADINHO JERUSALEM</t>
  </si>
  <si>
    <t>RODRIGO M.</t>
  </si>
  <si>
    <t>RODRIGO MATOS DA SILVA NASCIMENTO</t>
  </si>
  <si>
    <t>RUA ROCHA POMBO</t>
  </si>
  <si>
    <t>RUA ROCHA POMBO, Nº219, PONTO DE APANHA EM FRENTE AO MERCADINHO SOL NASCENTE.</t>
  </si>
  <si>
    <t>MERCADINHO SOL NASCENTE</t>
  </si>
  <si>
    <t>RONALT S. S.</t>
  </si>
  <si>
    <t>RONALT DE SOUZA SIMAS</t>
  </si>
  <si>
    <t>RUA MILAO</t>
  </si>
  <si>
    <t>PROX A JC TURISMO</t>
  </si>
  <si>
    <t>ROSANGELA S.</t>
  </si>
  <si>
    <t>ROSANGELA SOUZA DOS SANTOS CARVALHO</t>
  </si>
  <si>
    <t>RUA DOUTOR SIMOES FILHO</t>
  </si>
  <si>
    <t>PONTO CENTRAL</t>
  </si>
  <si>
    <t>RUA DOUTOR SIMOES FILHO 41 EM FRENTE; TAINÁ S´TUDIO</t>
  </si>
  <si>
    <t>TAINÁ S´TUDIO</t>
  </si>
  <si>
    <t>ROSENEIDE. C</t>
  </si>
  <si>
    <t>ROSENEIDE SANTANA CRUZ</t>
  </si>
  <si>
    <t>RUA A LOTEAMENTO AGNELO COSTA</t>
  </si>
  <si>
    <t>RUA A LOTEAMENTO AGNELO COSTA, N° 385, PROX: COLEGIO GERALDO DIAS</t>
  </si>
  <si>
    <t>PROX: COLEGIO GERALDO DIAS</t>
  </si>
  <si>
    <t>SAMUEL. A</t>
  </si>
  <si>
    <t>SAMUEL DE ALMEIDA ALVES</t>
  </si>
  <si>
    <t>RUA AMANDA DE A SSIS COSTA</t>
  </si>
  <si>
    <t>RUA AMANDA DE A SSIS COSTA N°115 PONTO DE APANHA EM FRENTE A GM ANDAMES</t>
  </si>
  <si>
    <t>EM FRENTE A GM ANDAMES</t>
  </si>
  <si>
    <t>SILVIO. F</t>
  </si>
  <si>
    <t>SILVIO FERNANDO DE CARVALHO VASCONCELOS</t>
  </si>
  <si>
    <t>RUA CLOVIS BEVILAQUA</t>
  </si>
  <si>
    <t>RUA CLOVIS BEVILAQUA, N° 251</t>
  </si>
  <si>
    <t>THARCISIO S.</t>
  </si>
  <si>
    <t>THARCISIO DOS SANTOS SENA</t>
  </si>
  <si>
    <t>RUA PETRÓPOLIS</t>
  </si>
  <si>
    <t>RUA PETRÓPOLIS, N° 167 EM FRENTE AO DEPOSITO DE AGUA</t>
  </si>
  <si>
    <t>EM FRENTE AO DEPOSITO DE AGUA</t>
  </si>
  <si>
    <t>Ubaldo. R</t>
  </si>
  <si>
    <t>UBALDO RAMOS NETO</t>
  </si>
  <si>
    <t>Rua Vasco Filho</t>
  </si>
  <si>
    <t>Rua Vasco Filho, N° 590</t>
  </si>
  <si>
    <t>Em frente ao Ponto do Frango</t>
  </si>
  <si>
    <t>VAGNER. C</t>
  </si>
  <si>
    <t>VAGNER CORREIA AMORIM</t>
  </si>
  <si>
    <t>RUA AMAZONA</t>
  </si>
  <si>
    <t>RUA AMAZONA Nº 13 PROX A CRECHE</t>
  </si>
  <si>
    <t>A CRECHE</t>
  </si>
  <si>
    <t>VALLENO. L</t>
  </si>
  <si>
    <t>VALLENO LIMA SENA</t>
  </si>
  <si>
    <t>RUA A, CAMINHO 39</t>
  </si>
  <si>
    <t>FEIRA VI</t>
  </si>
  <si>
    <t>RUA A, CAMINHO 39 - CONJ. FEIRA VI</t>
  </si>
  <si>
    <t>CONJ. FEIRA VI</t>
  </si>
  <si>
    <t>VYCTOR H.</t>
  </si>
  <si>
    <t>VYTOR HUGO LIMA BARROS</t>
  </si>
  <si>
    <t>RUA ATENAS</t>
  </si>
  <si>
    <t>RUA ATENAS Nº 298 - PERTO DO CAMPO</t>
  </si>
  <si>
    <t>PERTO DO CAMPO</t>
  </si>
  <si>
    <t>WALTER C.</t>
  </si>
  <si>
    <t>WALTER CARIBE RIBEIRO DA SILVA</t>
  </si>
  <si>
    <t>RUA MARIA ALVES BRASIL</t>
  </si>
  <si>
    <t>RUA MARIA ALVES BRASIL, N°47</t>
  </si>
  <si>
    <t>WASHINGTON J. A</t>
  </si>
  <si>
    <t>WASHINGTON DE JESUS ALMEIDA</t>
  </si>
  <si>
    <t>PRAÇA MACHADO</t>
  </si>
  <si>
    <t>PRAÇA MACHADO - EM FRENTE A CAIXA ECONOMICA</t>
  </si>
  <si>
    <t>EM FRENTE A CAIXA ECONOMICA</t>
  </si>
  <si>
    <t>Wemerson.S</t>
  </si>
  <si>
    <t>WEMERSON SANTOS MARTINS</t>
  </si>
  <si>
    <t>Rua Itauna</t>
  </si>
  <si>
    <t>Rua Itauna, N° 320</t>
  </si>
  <si>
    <t>WESLEY.F</t>
  </si>
  <si>
    <t>WESLEY DE FREITAS ROCHA</t>
  </si>
  <si>
    <t>BR1A013</t>
  </si>
  <si>
    <t>RUA JOSÉ DIOGO DE ARAÚJO</t>
  </si>
  <si>
    <t>WYLTON. S</t>
  </si>
  <si>
    <t>WYLTON DE JESUS SILVA SOUSA</t>
  </si>
  <si>
    <t>RUA PERO VAZ</t>
  </si>
  <si>
    <t>SOBRADINHO</t>
  </si>
  <si>
    <t>YASMIN C.</t>
  </si>
  <si>
    <t>YASMIN CRUZ LOPES</t>
  </si>
  <si>
    <t>RUA J, N° 11 - ANTIGO COLÉGIO ESTADUAL FERREIRA PINTO</t>
  </si>
  <si>
    <t>ANTIGO COLÉGIO ESTADUAL FERREIRA PINTO</t>
  </si>
  <si>
    <t>THIAGO O.</t>
  </si>
  <si>
    <t>BR1A312</t>
  </si>
  <si>
    <t>RUA DA PAZ, N° 50 - APANHA EM FRENTE A IGREJA MINISTERIO PENTESCOSTAL PROFETICO</t>
  </si>
  <si>
    <t>EM FRENTE A IGREJA MINISTERIO PENTESCOSTAL PROFETICO</t>
  </si>
  <si>
    <t>ANA PAULA - QUALIDADE</t>
  </si>
  <si>
    <t>BR1A002</t>
  </si>
  <si>
    <t>POSTO PETROBRAS, AV. PRESIDENTE DULTRA</t>
  </si>
  <si>
    <t>S/N</t>
  </si>
  <si>
    <t>NAIANE DE JESUS S.</t>
  </si>
  <si>
    <t>RUA MONGI DAS CRUZES</t>
  </si>
  <si>
    <t xml:space="preserve">AO LADO DO COLEGIO JUIZ JORGE FARIAS GOES </t>
  </si>
  <si>
    <t>VICE PRESIDÊNCIA</t>
  </si>
  <si>
    <t>DIRETORIA</t>
  </si>
  <si>
    <t>NOME</t>
  </si>
  <si>
    <t>Observação</t>
  </si>
  <si>
    <t>CODIGOCARGO</t>
  </si>
  <si>
    <t>CARGO</t>
  </si>
  <si>
    <t>Position Code</t>
  </si>
  <si>
    <t>CODLOCAL</t>
  </si>
  <si>
    <t>DESCLOCAL</t>
  </si>
  <si>
    <t>CODCCUSTO</t>
  </si>
  <si>
    <t>DESCCCUSTO</t>
  </si>
  <si>
    <t>DATAADMISSAO</t>
  </si>
  <si>
    <t>ANIVERSÁRIO</t>
  </si>
  <si>
    <t>Horário</t>
  </si>
  <si>
    <t>GPID - GESTOR IMEDIATO</t>
  </si>
  <si>
    <t>GESTOR IMEDIATO</t>
  </si>
  <si>
    <t>EMAIL CORPORATIVO</t>
  </si>
  <si>
    <t>STATUS</t>
  </si>
  <si>
    <t>SETOR</t>
  </si>
  <si>
    <t>Total Operacoes</t>
  </si>
  <si>
    <t>Manufatura Nutrition</t>
  </si>
  <si>
    <t>Fábrica Feira de Santana</t>
  </si>
  <si>
    <t>OPERADOR MULTIFUNCIONAL</t>
  </si>
  <si>
    <t>P50540268</t>
  </si>
  <si>
    <t>FÁBRICA FEIRA DE SANTANA</t>
  </si>
  <si>
    <t>BR1A010</t>
  </si>
  <si>
    <t>PRODUCAO MAGICO BA</t>
  </si>
  <si>
    <t>13/7</t>
  </si>
  <si>
    <t>06:00 10:00 11:10 14:30</t>
  </si>
  <si>
    <t>ALINE SOARES ANDRADE GAVAZZA</t>
  </si>
  <si>
    <t>eliomar.paixao@pepsico.com</t>
  </si>
  <si>
    <t>A</t>
  </si>
  <si>
    <t>P00190666</t>
  </si>
  <si>
    <t>12/8</t>
  </si>
  <si>
    <t>VALLENO.SENA@pepsico.com</t>
  </si>
  <si>
    <t>P00190669</t>
  </si>
  <si>
    <t>17/6</t>
  </si>
  <si>
    <t>ELIAS.DAFONSECA@pepsico.com</t>
  </si>
  <si>
    <t>AUXILIAR DE PRODUCAO</t>
  </si>
  <si>
    <t>P00073945</t>
  </si>
  <si>
    <t>30/6</t>
  </si>
  <si>
    <t>MIRIAN.SANTANA@pepsico.com</t>
  </si>
  <si>
    <t>P00073627</t>
  </si>
  <si>
    <t>3/4</t>
  </si>
  <si>
    <t>ELIANA.OLIVEIRA@pepsico.com</t>
  </si>
  <si>
    <t>P00190670</t>
  </si>
  <si>
    <t>24/1</t>
  </si>
  <si>
    <t>LUIZEDUARDO.SANTOS@pepsico.com</t>
  </si>
  <si>
    <t>P00190680</t>
  </si>
  <si>
    <t>27/3</t>
  </si>
  <si>
    <t>CLEIDIANE.LIMA@pepsico.com</t>
  </si>
  <si>
    <t>P50838653</t>
  </si>
  <si>
    <t>3/3</t>
  </si>
  <si>
    <t>MARIANA.DOSANJOS@pepsico.com</t>
  </si>
  <si>
    <t>TIAGO SANTOS VENAS</t>
  </si>
  <si>
    <t>P00073640</t>
  </si>
  <si>
    <t>10/6</t>
  </si>
  <si>
    <t>14:20 18:00 19:10 22:45</t>
  </si>
  <si>
    <t>tiagovenas964@gmail.com</t>
  </si>
  <si>
    <t>P00190665</t>
  </si>
  <si>
    <t>BR1A009</t>
  </si>
  <si>
    <t>PRODUCAO TODDY BA</t>
  </si>
  <si>
    <t>1/8</t>
  </si>
  <si>
    <t>06:00 10:00 11:00 14:20</t>
  </si>
  <si>
    <t>Ademildes.DaConceicao1@pepsico.com</t>
  </si>
  <si>
    <t>P00107081</t>
  </si>
  <si>
    <t>11/2</t>
  </si>
  <si>
    <t>SILVIOFERNANDO.VASCONCELOS@pepsico.com</t>
  </si>
  <si>
    <t>P00190668</t>
  </si>
  <si>
    <t>25/1</t>
  </si>
  <si>
    <t>MARCOS.MENEZES@pepsico.com</t>
  </si>
  <si>
    <t>P50586219</t>
  </si>
  <si>
    <t>6/1</t>
  </si>
  <si>
    <t>REIJANE.DASILVA@pepsico.com</t>
  </si>
  <si>
    <t>P00190681</t>
  </si>
  <si>
    <t>27/7</t>
  </si>
  <si>
    <t>ELICELIA.SANTOS@pepsico.com</t>
  </si>
  <si>
    <t>P50625381</t>
  </si>
  <si>
    <t>18/2</t>
  </si>
  <si>
    <t>LAILSON.JOSE@pepsico.com</t>
  </si>
  <si>
    <t>P00094739</t>
  </si>
  <si>
    <t>31/3</t>
  </si>
  <si>
    <t>RENATA.LEMOS@pepsico.com</t>
  </si>
  <si>
    <t>P00094741</t>
  </si>
  <si>
    <t>BR1A294</t>
  </si>
  <si>
    <t>PREPARACAO ESTERELIZ</t>
  </si>
  <si>
    <t>1/6</t>
  </si>
  <si>
    <t>josemir.borgesdecarvalho@pepsico.com</t>
  </si>
  <si>
    <t>P00074807</t>
  </si>
  <si>
    <t>7/5</t>
  </si>
  <si>
    <t>acacio.correia@pepsico.com</t>
  </si>
  <si>
    <t>ADILSON NUNES DE OLIVEIRA</t>
  </si>
  <si>
    <t>P50395394</t>
  </si>
  <si>
    <t>22/12</t>
  </si>
  <si>
    <t>adilsonnunes.deoliveira@pepsico.com</t>
  </si>
  <si>
    <t>LOA até 6M</t>
  </si>
  <si>
    <t>P00190677</t>
  </si>
  <si>
    <t>2/5</t>
  </si>
  <si>
    <t>robson.santoscosta@pepsico.com</t>
  </si>
  <si>
    <t>EDMILSON DOS SANTOS CERQUEIRA</t>
  </si>
  <si>
    <t>P00094750</t>
  </si>
  <si>
    <t>14/6</t>
  </si>
  <si>
    <t>edimilson.cerqueira@pepsico.com</t>
  </si>
  <si>
    <t>P50026629</t>
  </si>
  <si>
    <t>27/8</t>
  </si>
  <si>
    <t>ALEXANDRE.JESUS@pepsico.com</t>
  </si>
  <si>
    <t>P00073209</t>
  </si>
  <si>
    <t>26/8</t>
  </si>
  <si>
    <t>ELAINEBATISTA.GONCALVESLIMA@pepsico.com</t>
  </si>
  <si>
    <t>OPERADOR MULTIFUNCIONAL ESPECIALIZADO</t>
  </si>
  <si>
    <t>P50361927</t>
  </si>
  <si>
    <t>8/10</t>
  </si>
  <si>
    <t>07:30 12:00 13:00 17:18</t>
  </si>
  <si>
    <t>ALCIDES.JUNIOR@pepsico.com</t>
  </si>
  <si>
    <t>P00075070</t>
  </si>
  <si>
    <t>4/3</t>
  </si>
  <si>
    <t>PAULO.SILVA1@pepsico.com</t>
  </si>
  <si>
    <t>P00094745</t>
  </si>
  <si>
    <t>11/4</t>
  </si>
  <si>
    <t>EDMILSON.OLIVEIRA1@pepsico.com</t>
  </si>
  <si>
    <t>P00107083</t>
  </si>
  <si>
    <t>7/6</t>
  </si>
  <si>
    <t>JOSE.PINTO@pepsico.com</t>
  </si>
  <si>
    <t>P00073929</t>
  </si>
  <si>
    <t>14/8</t>
  </si>
  <si>
    <t>22:35 01:00 02:10 06:10</t>
  </si>
  <si>
    <t>MARCIO.JUNIOR@pepsico.com</t>
  </si>
  <si>
    <t>P00073893</t>
  </si>
  <si>
    <t>7/7</t>
  </si>
  <si>
    <t>MAXSUEL.DESANTANA@pepsico.com</t>
  </si>
  <si>
    <t>P00074507</t>
  </si>
  <si>
    <t>9/11</t>
  </si>
  <si>
    <t>LUANBENICIO.PINTO@pepsico.com</t>
  </si>
  <si>
    <t>P50644229</t>
  </si>
  <si>
    <t>DACIO.MACHADO@pepsico.com</t>
  </si>
  <si>
    <t>P00074510</t>
  </si>
  <si>
    <t>29/6</t>
  </si>
  <si>
    <t>RAIMUNDO.DEOLIVEIRADUARTE@pepsico.com</t>
  </si>
  <si>
    <t>P00076666</t>
  </si>
  <si>
    <t>COMBI 24000</t>
  </si>
  <si>
    <t>5/3</t>
  </si>
  <si>
    <t>CRISTIANE.ARAUJO1@pepsico.com</t>
  </si>
  <si>
    <t>P50026637</t>
  </si>
  <si>
    <t>29/3</t>
  </si>
  <si>
    <t>ATAIDE.SANTANA@pepsico.com</t>
  </si>
  <si>
    <t>P50654227</t>
  </si>
  <si>
    <t>22/4</t>
  </si>
  <si>
    <t>VAGNER.CORREIAAMORIM@pepsico.com</t>
  </si>
  <si>
    <t>P00097021</t>
  </si>
  <si>
    <t>14/3</t>
  </si>
  <si>
    <t>MARCUS.BEIRAO1@pepsico.com</t>
  </si>
  <si>
    <t>P50422376</t>
  </si>
  <si>
    <t>29/10</t>
  </si>
  <si>
    <t>JENIVALDO.DASILVA@pepsico.com</t>
  </si>
  <si>
    <t>P00092610</t>
  </si>
  <si>
    <t>9/9</t>
  </si>
  <si>
    <t>EMANUEL.DELIMA@pepsico.com</t>
  </si>
  <si>
    <t>P00190672</t>
  </si>
  <si>
    <t>10/5</t>
  </si>
  <si>
    <t>adriano.morais@pepsico.com</t>
  </si>
  <si>
    <t>JAIRO RODRIGUES NEPOMUCENO</t>
  </si>
  <si>
    <t>P00097020</t>
  </si>
  <si>
    <t>22/6</t>
  </si>
  <si>
    <t>jairo.nepomuceno@pepsico.com</t>
  </si>
  <si>
    <t>P00094747</t>
  </si>
  <si>
    <t>5/7</t>
  </si>
  <si>
    <t>samuel.dealmeidaalves@pepsico.com</t>
  </si>
  <si>
    <t>JOSELMA LEAO COSTA NUNES</t>
  </si>
  <si>
    <t>P00107082</t>
  </si>
  <si>
    <t>27/5</t>
  </si>
  <si>
    <t>08:00 12:00 13:00 17:30</t>
  </si>
  <si>
    <t>joselma_leao2010@hotmail.com</t>
  </si>
  <si>
    <t>P00190674</t>
  </si>
  <si>
    <t>18/9</t>
  </si>
  <si>
    <t>fernando.dasilvamoreira@pepsico.com</t>
  </si>
  <si>
    <t>P00097019</t>
  </si>
  <si>
    <t>10/8</t>
  </si>
  <si>
    <t>jeanderson.batista@pepsico.com</t>
  </si>
  <si>
    <t>P50654224</t>
  </si>
  <si>
    <t>11/1</t>
  </si>
  <si>
    <t>jeferson.doamaralsantos@pepsico.com</t>
  </si>
  <si>
    <t>P00109370</t>
  </si>
  <si>
    <t>24/11</t>
  </si>
  <si>
    <t>ESMERALDA.MAGALHAES@pepsico.com</t>
  </si>
  <si>
    <t>P00073207</t>
  </si>
  <si>
    <t>18/1</t>
  </si>
  <si>
    <t>ROSENEIDE.CRUZ@pepsico.com</t>
  </si>
  <si>
    <t>P00075373</t>
  </si>
  <si>
    <t>29/7</t>
  </si>
  <si>
    <t>emanuela.santos@pepsico.com</t>
  </si>
  <si>
    <t>P00085977</t>
  </si>
  <si>
    <t>18/3</t>
  </si>
  <si>
    <t>LEILAMIRELLA.COSTA@pepsico.com</t>
  </si>
  <si>
    <t>P00190673</t>
  </si>
  <si>
    <t>THARCISIO.SENA@pepsico.com</t>
  </si>
  <si>
    <t>P00073892</t>
  </si>
  <si>
    <t>14/12</t>
  </si>
  <si>
    <t>LUCIANE.LIMA@pepsico.com</t>
  </si>
  <si>
    <t>P00109371</t>
  </si>
  <si>
    <t>DAIANE.RODRIGUES@pepsico.com</t>
  </si>
  <si>
    <t>P00190671</t>
  </si>
  <si>
    <t>28/11</t>
  </si>
  <si>
    <t>LEANDRO.DASILVA2@pepsico.com</t>
  </si>
  <si>
    <t>P00097022</t>
  </si>
  <si>
    <t>2/6</t>
  </si>
  <si>
    <t>UBALDO.NETO@pepsico.com</t>
  </si>
  <si>
    <t>P00073641</t>
  </si>
  <si>
    <t>27/12</t>
  </si>
  <si>
    <t>ADRIANO.FERREIRA@pepsico.com</t>
  </si>
  <si>
    <t>P50613853</t>
  </si>
  <si>
    <t>13/12</t>
  </si>
  <si>
    <t>FERNANDO.ALVES@pepsico.com</t>
  </si>
  <si>
    <t>P50654231</t>
  </si>
  <si>
    <t>16/7</t>
  </si>
  <si>
    <t>JULIANA.DOSSANTOS@pepsico.com</t>
  </si>
  <si>
    <t>P50654228</t>
  </si>
  <si>
    <t>25/6</t>
  </si>
  <si>
    <t>FORLAN.CARDOSO@pepsico.com</t>
  </si>
  <si>
    <t>P00094740</t>
  </si>
  <si>
    <t>17/1</t>
  </si>
  <si>
    <t>WEMERSON.MARTINS@pepsico.com</t>
  </si>
  <si>
    <t>P00190678</t>
  </si>
  <si>
    <t>18/5</t>
  </si>
  <si>
    <t>DERALDO.DOSSANTOSJUNIOR@pepsico.com</t>
  </si>
  <si>
    <t>P00075374</t>
  </si>
  <si>
    <t>3/2</t>
  </si>
  <si>
    <t>LEANDRO.BARBOSASOUZA@pepsico.com</t>
  </si>
  <si>
    <t>P00190675</t>
  </si>
  <si>
    <t>6/6</t>
  </si>
  <si>
    <t>MARIO.SANTANACARNEIRO@pepsico.com</t>
  </si>
  <si>
    <t>P50840846</t>
  </si>
  <si>
    <t>29/1</t>
  </si>
  <si>
    <t>FRANCISCO.MAGALHAES@pepsico.com</t>
  </si>
  <si>
    <t>Qualidade</t>
  </si>
  <si>
    <t>TECNICO DE QUALIDADE I</t>
  </si>
  <si>
    <t>P00087005</t>
  </si>
  <si>
    <t>QUALIDADE CHOCOLATE</t>
  </si>
  <si>
    <t>11/12</t>
  </si>
  <si>
    <t>SORAYA ALVES BATISTA</t>
  </si>
  <si>
    <t>mirabele.nascimento@pepsico.com</t>
  </si>
  <si>
    <t>ANALISTA DE QUALIDADE JR</t>
  </si>
  <si>
    <t>P50611894</t>
  </si>
  <si>
    <t>17/10</t>
  </si>
  <si>
    <t>railane.brito@pepsico.com</t>
  </si>
  <si>
    <t>COORDENADOR DE QUALIDADE</t>
  </si>
  <si>
    <t>P50701085</t>
  </si>
  <si>
    <t>28/7</t>
  </si>
  <si>
    <t>08:00 12:00 13:00 17:00</t>
  </si>
  <si>
    <t>SILVIA ECHEVARRIA ALBANO</t>
  </si>
  <si>
    <t>soraya.batista@pepsico.com</t>
  </si>
  <si>
    <t>SUPERVISOR DE QUALIDADE</t>
  </si>
  <si>
    <t>P50961828</t>
  </si>
  <si>
    <t>DAIANE.XAVIER@pepsico.com</t>
  </si>
  <si>
    <t>P50669128</t>
  </si>
  <si>
    <t>30/10</t>
  </si>
  <si>
    <t>IASMIM.LIMA@pepsico.com</t>
  </si>
  <si>
    <t>P50359766</t>
  </si>
  <si>
    <t>ANDERSONFELIPE.DASILVA@pepsico.com</t>
  </si>
  <si>
    <t>P50308302</t>
  </si>
  <si>
    <t>1/4</t>
  </si>
  <si>
    <t>MARIAVERBENA.LIMA@pepsico.com</t>
  </si>
  <si>
    <t>P50676436</t>
  </si>
  <si>
    <t>14/1</t>
  </si>
  <si>
    <t>JADNA.ESTRELA@pepsico.com</t>
  </si>
  <si>
    <t>P50935791</t>
  </si>
  <si>
    <t>Gabrielle.Casaes@pepsico.com</t>
  </si>
  <si>
    <t>P00086737</t>
  </si>
  <si>
    <t>20/3</t>
  </si>
  <si>
    <t>Yasmin.Lopes@pepsico.com</t>
  </si>
  <si>
    <t>OPERADOR UTILIDADES</t>
  </si>
  <si>
    <t>P00075067</t>
  </si>
  <si>
    <t>BR1A007</t>
  </si>
  <si>
    <t>MANUTENCAO UTILIDADE</t>
  </si>
  <si>
    <t>20/2</t>
  </si>
  <si>
    <t>edvan.barbara@pepsico.com</t>
  </si>
  <si>
    <t>LEONARDO DIAS DA SILVA</t>
  </si>
  <si>
    <t>P50863249</t>
  </si>
  <si>
    <t>12/3</t>
  </si>
  <si>
    <t>Leonardo.DiasDaSilva@pepsico.com</t>
  </si>
  <si>
    <t>P50477874</t>
  </si>
  <si>
    <t>9/8</t>
  </si>
  <si>
    <t>CLAUDIONOR.DACOSTA@pepsico.com</t>
  </si>
  <si>
    <t>P00073310</t>
  </si>
  <si>
    <t>4/10</t>
  </si>
  <si>
    <t>RENATO.LACERDA@pepsico.com</t>
  </si>
  <si>
    <t>Total Supply Chain</t>
  </si>
  <si>
    <t>Warehouse</t>
  </si>
  <si>
    <t>ASSISTENTE LOGISTICA SR</t>
  </si>
  <si>
    <t>P00085747</t>
  </si>
  <si>
    <t>BR2A008</t>
  </si>
  <si>
    <t>ALM INSUMOS BA</t>
  </si>
  <si>
    <t>23/2</t>
  </si>
  <si>
    <t>ROMUARIO BARBOSA DE OLIVEIRA</t>
  </si>
  <si>
    <t>JOSEANE.DOSSANTOS@pepsico.com</t>
  </si>
  <si>
    <t>P50687605</t>
  </si>
  <si>
    <t>MARCILIO.NERIDESOUZA@pepsico.com</t>
  </si>
  <si>
    <t>P00073661</t>
  </si>
  <si>
    <t>BR1A012</t>
  </si>
  <si>
    <t>PRODUCAO MISTURA BA</t>
  </si>
  <si>
    <t>24/6</t>
  </si>
  <si>
    <t>luis.santana@pepsico.com</t>
  </si>
  <si>
    <t>SAMUEL DA LUZ ABADE</t>
  </si>
  <si>
    <t>P00073658</t>
  </si>
  <si>
    <t>samuel.abade@pepsico.com</t>
  </si>
  <si>
    <t>P50309407</t>
  </si>
  <si>
    <t>14/2</t>
  </si>
  <si>
    <t>rodrigo.nascimento@pepsico.com</t>
  </si>
  <si>
    <t>P00086938</t>
  </si>
  <si>
    <t>17/3</t>
  </si>
  <si>
    <t>vytorbarros560@gmail.com</t>
  </si>
  <si>
    <t>P50361931</t>
  </si>
  <si>
    <t>BR1A008</t>
  </si>
  <si>
    <t>GERENCIA PRODUCAO BA</t>
  </si>
  <si>
    <t>9/4</t>
  </si>
  <si>
    <t>ismael.almeida@pepsico.com</t>
  </si>
  <si>
    <t>GERENTE DE MANUFATURA</t>
  </si>
  <si>
    <t>P50703841</t>
  </si>
  <si>
    <t>30/7</t>
  </si>
  <si>
    <t>RODOLFO APARECIDO SANTOS MACHADO</t>
  </si>
  <si>
    <t>aline.andrade@pepsico.com</t>
  </si>
  <si>
    <t>EHS</t>
  </si>
  <si>
    <t>TECNICO SEGURANCA DO TRABALHO II</t>
  </si>
  <si>
    <t>P00108313</t>
  </si>
  <si>
    <t>SEG TRAB ENFERMAGEM</t>
  </si>
  <si>
    <t>28/12</t>
  </si>
  <si>
    <t>NEIDSON DOS SANTOS GOES</t>
  </si>
  <si>
    <t>lucas.rodrigues@pepsico.com</t>
  </si>
  <si>
    <t>MAIRA FLAVIA DE LIMA BAHIA FERREIRA</t>
  </si>
  <si>
    <t>-</t>
  </si>
  <si>
    <t>5/9</t>
  </si>
  <si>
    <t>Maira.Bahia@pepsico.com</t>
  </si>
  <si>
    <t>D</t>
  </si>
  <si>
    <t>LUIZ CLAUDIO MOSQUEZI</t>
  </si>
  <si>
    <t>ALMOXARIFE</t>
  </si>
  <si>
    <t>P00073316</t>
  </si>
  <si>
    <t>BR1A014</t>
  </si>
  <si>
    <t>ALMOXARIFADO PECAS</t>
  </si>
  <si>
    <t>19/11</t>
  </si>
  <si>
    <t>JUAREZ HENRIQUE ROCHA</t>
  </si>
  <si>
    <t>luiz.mosquezi@pepsico.com</t>
  </si>
  <si>
    <t>GERENTE DISTRIBUICAO</t>
  </si>
  <si>
    <t>P50648995</t>
  </si>
  <si>
    <t>BR2A032</t>
  </si>
  <si>
    <t>EXP E ARMAZENS FOODS</t>
  </si>
  <si>
    <t>KATIA APARECIDA DA SILVA</t>
  </si>
  <si>
    <t>romuario.oliveira@pepsico.com</t>
  </si>
  <si>
    <t>SUPERVISOR DE DISTRIBUICAO A</t>
  </si>
  <si>
    <t>P50995180</t>
  </si>
  <si>
    <t>wylton.sousa@pepsico.com</t>
  </si>
  <si>
    <t>P00075042</t>
  </si>
  <si>
    <t>8/8</t>
  </si>
  <si>
    <t>lhais.anjos@pepsico.com</t>
  </si>
  <si>
    <t>P00074012</t>
  </si>
  <si>
    <t>25/3</t>
  </si>
  <si>
    <t>ney.ramos@pepsico.com</t>
  </si>
  <si>
    <t>P00086456</t>
  </si>
  <si>
    <t>26/10</t>
  </si>
  <si>
    <t>nylton.sousa@pepsico.com</t>
  </si>
  <si>
    <t>P50592129</t>
  </si>
  <si>
    <t>31/10</t>
  </si>
  <si>
    <t>FRANCISCA.LIMA@pepsico.com</t>
  </si>
  <si>
    <t>P50971303</t>
  </si>
  <si>
    <t>BR1A003</t>
  </si>
  <si>
    <t>GERENTE DE PLANTA BA</t>
  </si>
  <si>
    <t>1/7</t>
  </si>
  <si>
    <t>GLAUBER AUGUSTO DE CARVALHO LUIZ</t>
  </si>
  <si>
    <t>rodolfo.machado@pepsico.com</t>
  </si>
  <si>
    <t>TECNICO ESPECIALISTA</t>
  </si>
  <si>
    <t>P50931877</t>
  </si>
  <si>
    <t>BR1A004</t>
  </si>
  <si>
    <t>GERENCIA MANUTENCAO</t>
  </si>
  <si>
    <t>4/9</t>
  </si>
  <si>
    <t>Eduardo.Silva2@pepsico.com</t>
  </si>
  <si>
    <t>TECNICO MECANICO II</t>
  </si>
  <si>
    <t>P50448573</t>
  </si>
  <si>
    <t>reginaldo.santiago@pepsico.com</t>
  </si>
  <si>
    <t>TECNICO MECANICO III</t>
  </si>
  <si>
    <t>P50764039</t>
  </si>
  <si>
    <t>28/9</t>
  </si>
  <si>
    <t>ivanildo.santos@pepsico.com</t>
  </si>
  <si>
    <t>COORDENADOR DE UTILIDADES</t>
  </si>
  <si>
    <t>P50914431</t>
  </si>
  <si>
    <t>6/11</t>
  </si>
  <si>
    <t>anderson.amaral@pepsico.com</t>
  </si>
  <si>
    <t>ADRIANO DE ARAUJO INVENCAO</t>
  </si>
  <si>
    <t>P50610632</t>
  </si>
  <si>
    <t>1/3</t>
  </si>
  <si>
    <t>adriano.invencao@pepsico.com</t>
  </si>
  <si>
    <t>TECNICO ELETROMECANICO II</t>
  </si>
  <si>
    <t>P50863248</t>
  </si>
  <si>
    <t>19/9</t>
  </si>
  <si>
    <t>ecio.reis@pepsico.com</t>
  </si>
  <si>
    <t>P50928324</t>
  </si>
  <si>
    <t>28/5</t>
  </si>
  <si>
    <t>JADSON.SANTANA@pepsico.com</t>
  </si>
  <si>
    <t>P50776033</t>
  </si>
  <si>
    <t>14/7</t>
  </si>
  <si>
    <t>WASHINGTONDEJESUS.ALMEIDA@pepsico.com</t>
  </si>
  <si>
    <t>P50448592</t>
  </si>
  <si>
    <t>23/11</t>
  </si>
  <si>
    <t>Gean.Fonseca@pepsico.com</t>
  </si>
  <si>
    <t>ELNATA ESTRELA DA SILVA</t>
  </si>
  <si>
    <t>P50633402</t>
  </si>
  <si>
    <t>3/9</t>
  </si>
  <si>
    <t>Elnata.Estrela@pepsico.com</t>
  </si>
  <si>
    <t>UESLEI CAZAIS SANTOS</t>
  </si>
  <si>
    <t>ENGENHEIRO PL</t>
  </si>
  <si>
    <t>P50914448</t>
  </si>
  <si>
    <t>30/9</t>
  </si>
  <si>
    <t>ROGERIO BARROS DA SILVA NETO</t>
  </si>
  <si>
    <t>UESLEI.CAZAISSANTOS@pepsico.com</t>
  </si>
  <si>
    <t>P50928390</t>
  </si>
  <si>
    <t>30/11</t>
  </si>
  <si>
    <t>WALTER.CARIBERIBEIRODASILVA@pepsico.com</t>
  </si>
  <si>
    <t>GERENTE MANUTENCAO</t>
  </si>
  <si>
    <t>P50926620</t>
  </si>
  <si>
    <t>LEONARDO.DASILVASANTOS@pepsico.com</t>
  </si>
  <si>
    <t>P50935484</t>
  </si>
  <si>
    <t>CLAUDIO.QUEIROZALVES@pepsico.com</t>
  </si>
  <si>
    <t>P51014146</t>
  </si>
  <si>
    <t>23/5</t>
  </si>
  <si>
    <t>Joaci.Silva@pepsico.com</t>
  </si>
  <si>
    <t>DIOGO SILVA DIAS DE ARAUJO</t>
  </si>
  <si>
    <t>P50473632</t>
  </si>
  <si>
    <t>27/9</t>
  </si>
  <si>
    <t>Diogo.Silva2@pepsico.com</t>
  </si>
  <si>
    <t>ANALISTA DE PCM PL</t>
  </si>
  <si>
    <t>19/2</t>
  </si>
  <si>
    <t>RONALT.DESOUZASIMAS@pepsico.com</t>
  </si>
  <si>
    <t>VINICIUS SOUZA CORDEIRO</t>
  </si>
  <si>
    <t>ANALISTA DE QUALIDADE PL</t>
  </si>
  <si>
    <t>P50840844</t>
  </si>
  <si>
    <t>BR2A174</t>
  </si>
  <si>
    <t>QUALIDADECENTRAL CO</t>
  </si>
  <si>
    <t>2/12</t>
  </si>
  <si>
    <t>FABIO LUIS GROFF</t>
  </si>
  <si>
    <t>vinicius.cordeiro@pepsico.com</t>
  </si>
  <si>
    <t>Manufatura</t>
  </si>
  <si>
    <t>ANALISTA CONTROLADORIA PL</t>
  </si>
  <si>
    <t>P50680383</t>
  </si>
  <si>
    <t>BR5A003</t>
  </si>
  <si>
    <t>CONTR FABR ITU MOH</t>
  </si>
  <si>
    <t>25/4</t>
  </si>
  <si>
    <t>MICHEL FIGUEIROA MORAIS</t>
  </si>
  <si>
    <t>anailde.cruzataide@pepsico.com</t>
  </si>
  <si>
    <t>ANALISTA DE MELHORIA CONTINUA SR</t>
  </si>
  <si>
    <t>P50569559</t>
  </si>
  <si>
    <t>BR1A054</t>
  </si>
  <si>
    <t>ATB &amp; LSS MANUF PROD</t>
  </si>
  <si>
    <t>ROSIMAYRE DA SILVA SOUSA</t>
  </si>
  <si>
    <t>katarynna.araujo@pepsico.com</t>
  </si>
  <si>
    <t>SETOR/EMPRESA</t>
  </si>
  <si>
    <t>ALMOXARIFADO / EXPEDIÇÃO</t>
  </si>
  <si>
    <t>ALMOXARIFADO</t>
  </si>
  <si>
    <t>TODDYNHO</t>
  </si>
  <si>
    <t>EXPEDIÇÃO</t>
  </si>
  <si>
    <t>MANUTENÇÃO</t>
  </si>
  <si>
    <t>TODDY</t>
  </si>
  <si>
    <t>QUALIDADE</t>
  </si>
  <si>
    <t>DATA ADMISSÃO</t>
  </si>
  <si>
    <t>DATA SAIDA DO FRETADO</t>
  </si>
  <si>
    <t>MOTIVO</t>
  </si>
  <si>
    <t>LOGRADOURO</t>
  </si>
  <si>
    <t>BRUNA MORENO DA SILVA</t>
  </si>
  <si>
    <t>N</t>
  </si>
  <si>
    <t>DESLIGAMENTO</t>
  </si>
  <si>
    <t>VIA PEDESTRE 47</t>
  </si>
  <si>
    <t>VIVEIROS</t>
  </si>
  <si>
    <t>1º</t>
  </si>
  <si>
    <t>EM FRENTE A IGREJA QUADRANGULAR</t>
  </si>
  <si>
    <t>MONICA SANTANA SANTOS RODRIGUES</t>
  </si>
  <si>
    <t>ESTRADA DO FRANCÊS</t>
  </si>
  <si>
    <t xml:space="preserve"> COND: RESIDENCIAL NOVITÁ</t>
  </si>
  <si>
    <t>IZAEL DOS SANTOS FERREIRA</t>
  </si>
  <si>
    <t xml:space="preserve">AV. GETULIO VARGAS </t>
  </si>
  <si>
    <t>2º</t>
  </si>
  <si>
    <t>EM FRENTE AO HOSPITAL ACM</t>
  </si>
  <si>
    <t xml:space="preserve">TIAGO MENEZES CONCEIÇÃO ANCHIETA </t>
  </si>
  <si>
    <t>RUA SANTO AMARO</t>
  </si>
  <si>
    <t>CHACARA SÃO COSME</t>
  </si>
  <si>
    <t>EM FRENTE AO ASSISTENCIAL CHÁCARA SÃO COSME</t>
  </si>
  <si>
    <t xml:space="preserve">EVILÁSIO NELSON CORREIA CARVALHO JUNIOR </t>
  </si>
  <si>
    <t xml:space="preserve">RUA ANTONIO FERNANDEZ DE OLIVEIRA </t>
  </si>
  <si>
    <t>PROX: A PADARIA (ART &amp; PÃO)</t>
  </si>
  <si>
    <t>ELIENE CERQUEIRA DO CARMO</t>
  </si>
  <si>
    <t>MUDANÇA PARA ROTEIRO ANTIGO</t>
  </si>
  <si>
    <t>JOÃO DURVAL</t>
  </si>
  <si>
    <t>CENTRO</t>
  </si>
  <si>
    <t>EM FRENTE A CASTELLE KIDS</t>
  </si>
  <si>
    <t>CASSIO MARTINS DA SILVA</t>
  </si>
  <si>
    <t>10/06/2013</t>
  </si>
  <si>
    <t xml:space="preserve">RUA POLITEAMA </t>
  </si>
  <si>
    <t>SÚBAE</t>
  </si>
  <si>
    <t>EM FRENTE AO COND FONTE DAS AGUÁS ( PROX A UNEF )</t>
  </si>
  <si>
    <t xml:space="preserve">FABRICIO CARVALHO DE JESUS MAGALHÃES </t>
  </si>
  <si>
    <t>22/08/2012</t>
  </si>
  <si>
    <t xml:space="preserve">RUA VISCONDE DE MAUA </t>
  </si>
  <si>
    <t>ESTAÇÃO NOVA</t>
  </si>
  <si>
    <t>EM FRENTE AO SUPERMECADO MERCANTIL ORIENTE</t>
  </si>
  <si>
    <t>NA</t>
  </si>
  <si>
    <t>JAMILE PEREIRA</t>
  </si>
  <si>
    <t>AVENIDA JOÃO DURVAL</t>
  </si>
  <si>
    <t xml:space="preserve">EM FRENTE A PETHORSE RAÇÕES </t>
  </si>
  <si>
    <t>MAIARA ARGOLO NEGROMONTE</t>
  </si>
  <si>
    <t>RANDSTAD</t>
  </si>
  <si>
    <t>RUA TUIUTI</t>
  </si>
  <si>
    <t>CONCEIÇÃO</t>
  </si>
  <si>
    <t>(75)9-9263-0006</t>
  </si>
  <si>
    <t>ELIAS BATISTA DOS SANTOS</t>
  </si>
  <si>
    <t>SEM COBERTURA DE BAIRRO</t>
  </si>
  <si>
    <t xml:space="preserve">RUA AV. FROTA </t>
  </si>
  <si>
    <t xml:space="preserve">MURILO LEITE </t>
  </si>
  <si>
    <t xml:space="preserve">SÃO GONÇALO </t>
  </si>
  <si>
    <t>CLINICA DE MOTO</t>
  </si>
  <si>
    <t>19/03/2018</t>
  </si>
  <si>
    <t>MUDANÇA PARA VT</t>
  </si>
  <si>
    <t>RUA E 1</t>
  </si>
  <si>
    <t>ESCOLA MANOEL GREGORIO</t>
  </si>
  <si>
    <t xml:space="preserve">DAIANE SILVA XAVIER </t>
  </si>
  <si>
    <t>17/12/2018</t>
  </si>
  <si>
    <t>RUA CAMBORIU</t>
  </si>
  <si>
    <t>EM FRENTE CONCESSIONARIA CHERY, ATRÁS SHOPPIN AVENIDA</t>
  </si>
  <si>
    <t xml:space="preserve">LARISSA  MAGALHAES DOREA MARTINS </t>
  </si>
  <si>
    <t>17/03/2014</t>
  </si>
  <si>
    <t>RUA CAJUEIRO</t>
  </si>
  <si>
    <t xml:space="preserve">ANNA  RUBIA LOBO FERREIRA GOMES </t>
  </si>
  <si>
    <t>04/05/2015</t>
  </si>
  <si>
    <t>RUA TEREZINHA MAGALHÃES</t>
  </si>
  <si>
    <t>EM FRENTE BAR DA KAISER</t>
  </si>
  <si>
    <t>SILVIO ROBSON AMARAL DOS SANTOS</t>
  </si>
  <si>
    <t>03/11/2014</t>
  </si>
  <si>
    <t>RUA COCOROBÓ</t>
  </si>
  <si>
    <t>PROX: AO COND: IGUATEMI 03</t>
  </si>
  <si>
    <t>THAIS LIMA DOS SANTOS</t>
  </si>
  <si>
    <t>19/11/2018</t>
  </si>
  <si>
    <t>RUA RIO GRANDE</t>
  </si>
  <si>
    <t>PONTO DE APANHA EM FRENTE AO POSTO DE SAÚDE</t>
  </si>
  <si>
    <t>JOELMA COSTA DA CRUZ NASCIMENTO</t>
  </si>
  <si>
    <t>15/03/2021</t>
  </si>
  <si>
    <t>RUA QUIRINÓPOLIS</t>
  </si>
  <si>
    <t>EM FRENTE A LOJA TURMA SARA</t>
  </si>
  <si>
    <t xml:space="preserve">EDNEI CARDOSO DE OLIVEIRA </t>
  </si>
  <si>
    <t>RUA MINAS AZUIS</t>
  </si>
  <si>
    <t>ESCOLA EDUCANDÁRIO UNIÃO DA VITORIA</t>
  </si>
  <si>
    <t xml:space="preserve">  9 8156 - 03001</t>
  </si>
  <si>
    <t>ALISSON SANTOS BARRETO</t>
  </si>
  <si>
    <t>RUA SÃO ROQUE</t>
  </si>
  <si>
    <t>PARQUE JETULIO</t>
  </si>
  <si>
    <t>AMD EPC</t>
  </si>
  <si>
    <t>REF: POSTO MENOR PREÇO</t>
  </si>
  <si>
    <t>(75)9-8839-9220</t>
  </si>
  <si>
    <t xml:space="preserve">LUIS CARLOS DOS SANTOS DE JESUS </t>
  </si>
  <si>
    <t>RUA SÃO FRANCISCO</t>
  </si>
  <si>
    <t>CONJ HILDES FERREIRA</t>
  </si>
  <si>
    <t>(75)9 -8819 - 1825</t>
  </si>
  <si>
    <t>ROMARIO ARAUJO SANTANA</t>
  </si>
  <si>
    <t>RUA DESEMBARGADOR FILINTO BASTO</t>
  </si>
  <si>
    <t>PROX: A PADARIA PADRE OVIDIO</t>
  </si>
  <si>
    <t>PAULO HENRIQUE CORREIA OLIVEIRA</t>
  </si>
  <si>
    <t>16/01/2012</t>
  </si>
  <si>
    <t xml:space="preserve">RUA ITAPETINGA </t>
  </si>
  <si>
    <t>3º</t>
  </si>
  <si>
    <t>PROX: A IGREJA, REF: COND: RESERVA REAL</t>
  </si>
  <si>
    <t xml:space="preserve">AURINO AMORIM RODRIGUES </t>
  </si>
  <si>
    <t>GRI</t>
  </si>
  <si>
    <t>RUA SALGADEIRA</t>
  </si>
  <si>
    <t>EM FRENTE A LOJA DE MOVEIS DEUS É FIEL</t>
  </si>
  <si>
    <t xml:space="preserve">EZEQUIEL LIMA DOS SANTOS </t>
  </si>
  <si>
    <t>RUA S</t>
  </si>
  <si>
    <t xml:space="preserve">EM FRENTE AO MERCADINHO COSME E DAMIÃO </t>
  </si>
  <si>
    <t>(75)9-8240-6561</t>
  </si>
  <si>
    <t>ISABELLA DOS SANTOS DE OLIVEIRA</t>
  </si>
  <si>
    <t xml:space="preserve">GRI </t>
  </si>
  <si>
    <t>RUA LOUDES MARIA DA SILVA</t>
  </si>
  <si>
    <t>JOSÉ RAMOS DOS SANTOS</t>
  </si>
  <si>
    <t xml:space="preserve">RUA MILTON486 </t>
  </si>
  <si>
    <t>AMELIA RODRIGUES (ITAPICURU)</t>
  </si>
  <si>
    <t>ATRÁS DO FORUM DE A. RODRIGUES</t>
  </si>
  <si>
    <t>MARIVAN NASCIMENTO</t>
  </si>
  <si>
    <t xml:space="preserve">RUA RIO ITAPEMIRIM </t>
  </si>
  <si>
    <t xml:space="preserve">EM FRENTE A DROGARIA DO BAIRRO </t>
  </si>
  <si>
    <t>FALECIMENTO</t>
  </si>
  <si>
    <t>MARCELA BARBARA PEREIRA DE JESUS</t>
  </si>
  <si>
    <t>RUA SÃO PEDRO DOS DERROS</t>
  </si>
  <si>
    <t>9 8142 - 7843</t>
  </si>
  <si>
    <t>ELAINE DA CRUZ COSTA BARBOSA</t>
  </si>
  <si>
    <t>QUINTA DO SOL VILLE 1</t>
  </si>
  <si>
    <t>PARQUE IPÊ</t>
  </si>
  <si>
    <t>(75)9-9204 -2511</t>
  </si>
  <si>
    <t>ZOENE DE JESUS</t>
  </si>
  <si>
    <t>RUA HONORATO BONFIM</t>
  </si>
  <si>
    <t xml:space="preserve">RPOX: A IGREJA ASSEMBLEIA DE DEUS </t>
  </si>
  <si>
    <t>(75)9-8169 - 2968</t>
  </si>
  <si>
    <t xml:space="preserve">RICARDO DA SILVA SANTOS </t>
  </si>
  <si>
    <t>RUA RIO VERMELHO</t>
  </si>
  <si>
    <t>SANTA MONICA</t>
  </si>
  <si>
    <t>FUNDO DO POSTO CAJUEIRO</t>
  </si>
  <si>
    <t>(75)9-8152-7047</t>
  </si>
  <si>
    <t>.09366917</t>
  </si>
  <si>
    <t>SONIA MARIA DE CARVALHO SOUZA</t>
  </si>
  <si>
    <t>RUA ARI BARROSO</t>
  </si>
  <si>
    <t>REF: RODOVIARIA</t>
  </si>
  <si>
    <t>MARLUCIA DA CONCEIÇÃO LIMA</t>
  </si>
  <si>
    <t>05/11/2018</t>
  </si>
  <si>
    <t>RUA OPALA</t>
  </si>
  <si>
    <t>EM FRENTE MERCADINHO NOGUEIRA 2</t>
  </si>
  <si>
    <t>ELANE SANTANA</t>
  </si>
  <si>
    <t>12/02/2018</t>
  </si>
  <si>
    <t>RESIDENCIAL ALTO DO ROSARIO BL</t>
  </si>
  <si>
    <t>GILHERLON OLIVEIRA DE JESUS</t>
  </si>
  <si>
    <t>01/12/2014</t>
  </si>
  <si>
    <t>RUA MARIO PEREIRA FRANCO</t>
  </si>
  <si>
    <t>CAILAN SILVA BARROS</t>
  </si>
  <si>
    <t>17/07/2017</t>
  </si>
  <si>
    <t>RUA CAMILO V COSTA</t>
  </si>
  <si>
    <t>EM FRENTE AO COND VILLE DUO</t>
  </si>
  <si>
    <t>DENILLY SOUZA ALVES</t>
  </si>
  <si>
    <t>RUA MEDEIROS NETO</t>
  </si>
  <si>
    <t>EM FRENTE AO COND: PARQUE DAS FILIPINAS</t>
  </si>
  <si>
    <t>AGLAÉ SOUZA DO VALE SILVA</t>
  </si>
  <si>
    <t>RUA ILHA BELA</t>
  </si>
  <si>
    <t>EM FRENTE AO IGREJA COMUNIDADE SÃO JOSÉ</t>
  </si>
  <si>
    <t>CLEITON SILVA LIMA</t>
  </si>
  <si>
    <t>RUA CONSELHEIRO PENA</t>
  </si>
  <si>
    <t xml:space="preserve">PANORAMA </t>
  </si>
  <si>
    <t>IAGGO ANDREY COSTA BARBOSA</t>
  </si>
  <si>
    <t>AV. RUA RUBENS  FRANCISCO DIAS</t>
  </si>
  <si>
    <t>EM FRENTE AO CONDOMINIO CANADA HOUSES</t>
  </si>
  <si>
    <t>JOSÉ NILTON AMORIM AMORIM DOS SANTOS</t>
  </si>
  <si>
    <t>RESIDENCIAL AQUARIOS</t>
  </si>
  <si>
    <t>AVIARIO ( RUA PRINCIPAL)</t>
  </si>
  <si>
    <t xml:space="preserve">SARA MONIELLE DE OLIVEIRA ATAIDE </t>
  </si>
  <si>
    <t xml:space="preserve">RUA ITORORO - COND CENTRAL PARK </t>
  </si>
  <si>
    <t>COND CENTRAL PARK</t>
  </si>
  <si>
    <t xml:space="preserve">MARIELLEN OLIVEIRA CALMON </t>
  </si>
  <si>
    <t>01/08/2011</t>
  </si>
  <si>
    <t>RUA RUBENS FRANCISCO DIAS</t>
  </si>
  <si>
    <t>EM FRENTE AO COND: AZZUL VILLE</t>
  </si>
  <si>
    <t>(75)9-9266-0247</t>
  </si>
  <si>
    <t>DANIELE DA CRUZ NASCIMENTO</t>
  </si>
  <si>
    <t>RUA RIBEIRO LOPES</t>
  </si>
  <si>
    <t xml:space="preserve">CASA DA CARNE OLIVEIRA </t>
  </si>
  <si>
    <t xml:space="preserve">RESIDENCIAL ALTO DO PAPAGAIO - </t>
  </si>
  <si>
    <t>75 9 9180-0920</t>
  </si>
  <si>
    <t>MICHELE SANTOS OLIVEIRA</t>
  </si>
  <si>
    <t>RUA ARTUR NEIVA</t>
  </si>
  <si>
    <t>EM FRENTE AO REI DO PARA - CHOQUE</t>
  </si>
  <si>
    <t>CARLUENAN LUCENAS DE MENESES</t>
  </si>
  <si>
    <t>REALOCAÇÃO</t>
  </si>
  <si>
    <t>TRAVE: CHÁCARA MIRINEU</t>
  </si>
  <si>
    <t>EM FRENTE AO COND: VILA DE ESPENHA</t>
  </si>
  <si>
    <t>FÁBIO COSTA DA LUZ ABADE</t>
  </si>
  <si>
    <t>16/06/2014</t>
  </si>
  <si>
    <t>RUA AMANDA DE ASSIS COSTA</t>
  </si>
  <si>
    <t>EM FRENTE AO DEPOSITO ERICK</t>
  </si>
  <si>
    <t>GLEDSON SILVA DE ALMEIDA</t>
  </si>
  <si>
    <t xml:space="preserve">RUA FELINTO MARQUES CERQUEIRA </t>
  </si>
  <si>
    <t>2°</t>
  </si>
  <si>
    <t>EM FRENTE AO PETSHOP QUATRO PATAS</t>
  </si>
  <si>
    <t>MARCIO SOUZA ALVES</t>
  </si>
  <si>
    <t>21/01/2004</t>
  </si>
  <si>
    <t>AV: ARTEMIA PIRES</t>
  </si>
  <si>
    <t>EM FRENTE AO COND: ARBOL RESIDENCE</t>
  </si>
  <si>
    <t>CRISTINNA DE CASTRO BARROS</t>
  </si>
  <si>
    <t>RUA MONSENHOR ADERBAL MIRANDA</t>
  </si>
  <si>
    <t>SUPERMERCADO O PONTINHO</t>
  </si>
  <si>
    <t>MARIA DIENI ASSIS SOUZA</t>
  </si>
  <si>
    <t>RUA CASA BRANCA</t>
  </si>
  <si>
    <t>POSTO  DE SAUDE DA CONCEIÇÃO</t>
  </si>
  <si>
    <t>THALLISON SOARES SOUZA</t>
  </si>
  <si>
    <t>TRAV: LIMOEIRO</t>
  </si>
  <si>
    <t>LEIA DE SOUZA PACHECO</t>
  </si>
  <si>
    <t>13/05/2019</t>
  </si>
  <si>
    <t xml:space="preserve">RUA FRANCISCO MARTINS DA SILVA </t>
  </si>
  <si>
    <t>PROX: MINISTERIO DO TRABALHO</t>
  </si>
  <si>
    <t>AILTON DOS SANTOS MOREIRA</t>
  </si>
  <si>
    <t>14/11/2011</t>
  </si>
  <si>
    <t>RUA JEOVÁ</t>
  </si>
  <si>
    <t>PROX. DA LOJA BOUTIQUE J.MM)</t>
  </si>
  <si>
    <t xml:space="preserve">JANILSON BACELAR DOS ANJOS </t>
  </si>
  <si>
    <t>11/06/2013</t>
  </si>
  <si>
    <t>ESTRADA DA SALGADEIRA</t>
  </si>
  <si>
    <t>IGREJA DA ROCINHA</t>
  </si>
  <si>
    <t>LUIZ CARLOS LIMA DE JESUS</t>
  </si>
  <si>
    <t>04/04/2016</t>
  </si>
  <si>
    <t xml:space="preserve">RUA CASCALHEIRA </t>
  </si>
  <si>
    <t>PEDRA DO DESCANÇO</t>
  </si>
  <si>
    <t xml:space="preserve">EM FRENTE AO GALETO NA BRASA </t>
  </si>
  <si>
    <t>TARCISIO ROCHA SANTOS</t>
  </si>
  <si>
    <t>11/04/2016</t>
  </si>
  <si>
    <t>RUA ANTONIO RIBEIRO MARQUES</t>
  </si>
  <si>
    <t>JARDIM BRASIL</t>
  </si>
  <si>
    <t>EM FRENTE AO COND. RESERVA PARATI</t>
  </si>
  <si>
    <t>ELIELSON SANTOS FERREIRA</t>
  </si>
  <si>
    <t>RUA SANTO ANTONIO</t>
  </si>
  <si>
    <t xml:space="preserve">PROX: AO MERCADO TODO DIA </t>
  </si>
  <si>
    <t>(75)9 8266 - 3327</t>
  </si>
  <si>
    <t>VIVIANE CERQUEIRA DE JESUS SANTOS CARVALHO</t>
  </si>
  <si>
    <t>10/09/2018</t>
  </si>
  <si>
    <t>RUA SÃO MIGUEL DO MAR</t>
  </si>
  <si>
    <t>SANTAN MONICA II</t>
  </si>
  <si>
    <t>NO FUNDO DA CONFIANÇA EXTINTOR.</t>
  </si>
  <si>
    <t>ANDERSON FERREIRA CHAGAS</t>
  </si>
  <si>
    <t>04/11/2019</t>
  </si>
  <si>
    <t>AV. IGUATEMI COND FIGUEIRAS</t>
  </si>
  <si>
    <t xml:space="preserve">GIVANILDES DOS SANTOS </t>
  </si>
  <si>
    <t>RUA PEDRO SUZARTE</t>
  </si>
  <si>
    <t xml:space="preserve"> MERCADONHO DAVI</t>
  </si>
  <si>
    <t xml:space="preserve"> 9 8265 - 7095</t>
  </si>
  <si>
    <t>OTAVIO MACHADO DE OLIVEIRA JUNIOR</t>
  </si>
  <si>
    <t>TRAV: CHÁCARA MIRINEU</t>
  </si>
  <si>
    <t>SANTO ANTONIO DOS PRAZERES</t>
  </si>
  <si>
    <t>FRENTE AO COND: VILA DE ESPENHA</t>
  </si>
  <si>
    <t>SANDRA OLIVEIRA DA SILVA PINTO</t>
  </si>
  <si>
    <t>VIA LOCAL A</t>
  </si>
  <si>
    <t>EXPANSÃO FEIRA IX</t>
  </si>
  <si>
    <t xml:space="preserve">FINAL DE LINHA DO EXPANSÃO DO FEIRA IX </t>
  </si>
  <si>
    <t xml:space="preserve">SILVANA MATOS SILVA LEITE </t>
  </si>
  <si>
    <t>RUA ASSIS</t>
  </si>
  <si>
    <t>ASA BRANCA</t>
  </si>
  <si>
    <t>PROX: A IGREJA UNIVERSAL</t>
  </si>
  <si>
    <t xml:space="preserve"> 9 9863 - 5509</t>
  </si>
  <si>
    <t>ANDRESSA DE OLIVEIRA CERQUEIRA</t>
  </si>
  <si>
    <t>06/09/2021</t>
  </si>
  <si>
    <t>NÃO UTILIZA O ROTEIRO</t>
  </si>
  <si>
    <t>RUA RIO TIJUCA</t>
  </si>
  <si>
    <t>EM FRENTE AO RESIDENCIAL ALAMEDA DA TIJUCA 1</t>
  </si>
  <si>
    <t xml:space="preserve">ANDERSON DE JESUS AMARAL </t>
  </si>
  <si>
    <t>02/05/2011</t>
  </si>
  <si>
    <t>OLHOS D´AGUA</t>
  </si>
  <si>
    <t xml:space="preserve"> EM FRENTE AFAS</t>
  </si>
  <si>
    <t>RANIERE ROSEMBERG SOUZA DOS SANTOS</t>
  </si>
  <si>
    <t>RUA G, CAMINHO 13</t>
  </si>
  <si>
    <t xml:space="preserve">FEIRA X </t>
  </si>
  <si>
    <t>74 9 9814-3201</t>
  </si>
  <si>
    <t>JOSELMA LEÃO COSTA</t>
  </si>
  <si>
    <t>AVENIDA BAHIA</t>
  </si>
  <si>
    <t>AV: BAHIA</t>
  </si>
  <si>
    <t xml:space="preserve">PROX : A IGREJA DE TODOS OS SANTOS </t>
  </si>
  <si>
    <t>ROSANGELA BARRETO TEIXEIRA</t>
  </si>
  <si>
    <t>CAM: 02</t>
  </si>
  <si>
    <t>FEIXA V</t>
  </si>
  <si>
    <t>PROX: A FARMACIA BRITO</t>
  </si>
  <si>
    <t>(75)9-8238-9247</t>
  </si>
  <si>
    <t>FRANCISCO ALMEIDA SOUZA NETO</t>
  </si>
  <si>
    <t>RUA ALEXANDRE FLAMINGO</t>
  </si>
  <si>
    <t xml:space="preserve">EM FRENTE A IGREJA EVANGELICA </t>
  </si>
  <si>
    <t>LAILA FERREIRA DA SILVA</t>
  </si>
  <si>
    <t>RUA GOIÁS</t>
  </si>
  <si>
    <t>JARDIM ACÁCIA</t>
  </si>
  <si>
    <t xml:space="preserve">PROX: A PADARIA DE IRMÃ ROSA </t>
  </si>
  <si>
    <t>75 9 8189 - 3112</t>
  </si>
  <si>
    <t xml:space="preserve">ELIAS BATISTA DOS SANTOS </t>
  </si>
  <si>
    <t>RUA GÊMEOS</t>
  </si>
  <si>
    <t>AO LADO DA IGREJA ADVENTISTA</t>
  </si>
  <si>
    <t>ROBERTO LEAL CARDOSO RAMOS</t>
  </si>
  <si>
    <t>BAR DA KAISER DRINK´S</t>
  </si>
  <si>
    <t>ANA JULIA DE JESUS</t>
  </si>
  <si>
    <t>CAMINHO QUINZE</t>
  </si>
  <si>
    <t>EM FRENTE A IGREJA DA FÉ EM JESUS CRISTO</t>
  </si>
  <si>
    <t>CAROLINE SAMPAIO DE SOUZA</t>
  </si>
  <si>
    <t xml:space="preserve">GABRIELA </t>
  </si>
  <si>
    <t>9 9126 - 2926</t>
  </si>
  <si>
    <t>DANILO OLIVEIRA  MENDES</t>
  </si>
  <si>
    <t>MERCADINHO MARINHO  ( AO LADO DA CASA )</t>
  </si>
  <si>
    <t>RODRIGO ASSUNCAO NEVES</t>
  </si>
  <si>
    <t>15/02/2021</t>
  </si>
  <si>
    <t>AO LADO DA FABRICA DE IOGURT BIZZ</t>
  </si>
  <si>
    <t>BARBARA PINTO DE SOUZA</t>
  </si>
  <si>
    <t>RUA DAS ROSAS</t>
  </si>
  <si>
    <t>98183-2194</t>
  </si>
  <si>
    <t xml:space="preserve">SIMARA SILVA BATISTA </t>
  </si>
  <si>
    <t xml:space="preserve"> EM FRENTE AO RESIDENCIAL SANTANA LIFE </t>
  </si>
  <si>
    <t xml:space="preserve">  9 9862 - 4038</t>
  </si>
  <si>
    <t>MARIO DE JESUS SANTANA</t>
  </si>
  <si>
    <t>FRENTE AO BISCOITOS ITÁLIA</t>
  </si>
  <si>
    <t xml:space="preserve">  9 8114 - 7924</t>
  </si>
  <si>
    <t>04/06/2018</t>
  </si>
  <si>
    <t>RUA CORREDOR DOS ARAÇAS</t>
  </si>
  <si>
    <t>EM FRENTE AO COND: SELLETO</t>
  </si>
  <si>
    <t>(73)9-9135-0503</t>
  </si>
  <si>
    <t xml:space="preserve">FABIO PINTO DOS SANTOS </t>
  </si>
  <si>
    <t>17/05/2012</t>
  </si>
  <si>
    <t xml:space="preserve">RUA CARMO DF MINAS  </t>
  </si>
  <si>
    <t xml:space="preserve">NA ESQUINA DA RUA CARMO DE MINAS </t>
  </si>
  <si>
    <t>12/07/2012</t>
  </si>
  <si>
    <t>AFASTAMENTO</t>
  </si>
  <si>
    <t xml:space="preserve">RUA A, CAMINHO C 3 </t>
  </si>
  <si>
    <t xml:space="preserve">ESPAÇO TERAPÊUTICO CASA DE MAINHA </t>
  </si>
  <si>
    <t>MARIA FLAVIA COSTA CRUZ</t>
  </si>
  <si>
    <t>20/05/2019</t>
  </si>
  <si>
    <t>MATHEUS DE OLIVEIRA MELO</t>
  </si>
  <si>
    <t>18/01/2016</t>
  </si>
  <si>
    <t xml:space="preserve">RUA E  </t>
  </si>
  <si>
    <t xml:space="preserve">EM FRENTE A LOJA MODA PAULISTA </t>
  </si>
  <si>
    <t xml:space="preserve">REGIS RAMOS DE MORAIS </t>
  </si>
  <si>
    <t xml:space="preserve">AVENIDA DOIS CAMINHO </t>
  </si>
  <si>
    <t>CONJ.FEIRA VII</t>
  </si>
  <si>
    <t>EM FRENTE AO MERCADINHO SANTANA</t>
  </si>
  <si>
    <t>R. SENADOR QUINTINO,</t>
  </si>
  <si>
    <t>MARCELA BARBOSA PEREIRA DE JESUS</t>
  </si>
  <si>
    <t>RUA SÃO PEDRO DOS FERROS</t>
  </si>
  <si>
    <t>75 9 8142 - 7843</t>
  </si>
  <si>
    <t>TALITA DE JESUS SANTOS</t>
  </si>
  <si>
    <t>RUA SÃO RAIMUNDO DO MERITI</t>
  </si>
  <si>
    <t>CASA DE AZULEJOS BRANCO, PRÓXIMO AO QUISQUE</t>
  </si>
  <si>
    <t>FILIPE FERREIRA RAMOS</t>
  </si>
  <si>
    <t>RUA ITACARAMBI</t>
  </si>
  <si>
    <t>1° T</t>
  </si>
  <si>
    <t>NADJANARA SANTANA LOPES</t>
  </si>
  <si>
    <t>18/04/2022</t>
  </si>
  <si>
    <t>TRAVENIDA E CHACARA MIRINEU</t>
  </si>
  <si>
    <t xml:space="preserve">  CONDOMINIO VILA DE ESPANHA</t>
  </si>
  <si>
    <t>MOTORISTAS</t>
  </si>
  <si>
    <t>MOTORISTA</t>
  </si>
  <si>
    <t>CNH</t>
  </si>
  <si>
    <t>DATA EXP.</t>
  </si>
  <si>
    <t>DATA VAL.</t>
  </si>
  <si>
    <t>EXAME TOXICOLÓGICO</t>
  </si>
  <si>
    <t>CURSO DETRAN</t>
  </si>
  <si>
    <t>DOCUMENTO ASO</t>
  </si>
  <si>
    <t>HUDSON BARBOSA DE ARAUJO PEREIRA</t>
  </si>
  <si>
    <t>EAR</t>
  </si>
  <si>
    <t>OK</t>
  </si>
  <si>
    <t>OSMAN MIRANDA DA CRUZ</t>
  </si>
  <si>
    <t xml:space="preserve">SIDNEY MIRANDA OLIVEIRA </t>
  </si>
  <si>
    <t xml:space="preserve">LIDIVAL DIAS FREITAS </t>
  </si>
  <si>
    <t>EDNALDO DO CARMO LOPES</t>
  </si>
  <si>
    <t>OTAVIO OLIVEIRA DO VALE</t>
  </si>
  <si>
    <t>ANGELO MARIO DOS SANTOS</t>
  </si>
  <si>
    <t xml:space="preserve">ROQUE DE JESUS ALMEIDA </t>
  </si>
  <si>
    <t>SANDRO JOSE FERREIRA DE FREITAS</t>
  </si>
  <si>
    <t>WALMIR DA CONCEIÇÃO RIBEIRO</t>
  </si>
  <si>
    <t>GENIVALDO DE LIMA DE JESUS</t>
  </si>
  <si>
    <t>BRUNNO ANDERSON DA SILVA LEAL</t>
  </si>
  <si>
    <t xml:space="preserve">SIDNEY ALVES DOS SANTOS </t>
  </si>
  <si>
    <t xml:space="preserve">JOÃO EVANGELISTA RIBEIRO MORAIS </t>
  </si>
  <si>
    <t xml:space="preserve">N/A </t>
  </si>
  <si>
    <t>HUMBERTO SAMPAIO DE MACEDO</t>
  </si>
  <si>
    <t>IANEY SANTOS MOREIRA</t>
  </si>
  <si>
    <t>JOÃO VICTOR MATOS SILVA</t>
  </si>
  <si>
    <t>JUCELIA SANTOS DA SILVA</t>
  </si>
  <si>
    <t>UBIRAJARA FRANÇA</t>
  </si>
  <si>
    <t>JADSON BORGES DA SILVA SANTOS</t>
  </si>
  <si>
    <t>ANTONIO PAULO DA SILVA</t>
  </si>
  <si>
    <t>HENRIQUE MENDES DA SILVA</t>
  </si>
  <si>
    <t>FABIANO SILVA DE JESUS</t>
  </si>
  <si>
    <t>VEÍCULOS</t>
  </si>
  <si>
    <t>PLACA</t>
  </si>
  <si>
    <t>DOCUMENTO VEICULO (CRLV)</t>
  </si>
  <si>
    <t>LICENCIADO</t>
  </si>
  <si>
    <t>DATA VALIDADE</t>
  </si>
  <si>
    <t>CONOTACOGRAFO</t>
  </si>
  <si>
    <t>SKB4C99</t>
  </si>
  <si>
    <t>244079612187</t>
  </si>
  <si>
    <t>0011065641</t>
  </si>
  <si>
    <t>SKE6J24</t>
  </si>
  <si>
    <t>244110292140</t>
  </si>
  <si>
    <t>0011154537</t>
  </si>
  <si>
    <t>SKG2H53</t>
  </si>
  <si>
    <t>244145005511</t>
  </si>
  <si>
    <t>P23488955</t>
  </si>
  <si>
    <t>SKG3F12</t>
  </si>
  <si>
    <t>244145004680</t>
  </si>
  <si>
    <t>P23427834</t>
  </si>
  <si>
    <t>SKG4G65</t>
  </si>
  <si>
    <t>244139120290</t>
  </si>
  <si>
    <t>P23471388</t>
  </si>
  <si>
    <t>SKG4J37</t>
  </si>
  <si>
    <t>244145006186</t>
  </si>
  <si>
    <t>P23489735</t>
  </si>
  <si>
    <t>QTW6B54</t>
  </si>
  <si>
    <t>01218946501</t>
  </si>
  <si>
    <t>P23489273</t>
  </si>
  <si>
    <t>NZI6F44</t>
  </si>
  <si>
    <t>233697016830</t>
  </si>
  <si>
    <t>P23466564</t>
  </si>
  <si>
    <t>PJW3313</t>
  </si>
  <si>
    <t>01083690873</t>
  </si>
  <si>
    <t>31/02/2025</t>
  </si>
  <si>
    <t>0010770653</t>
  </si>
  <si>
    <t>OLF0D24</t>
  </si>
  <si>
    <t>213197176260</t>
  </si>
  <si>
    <t>31/06/2025</t>
  </si>
  <si>
    <t>0010061759</t>
  </si>
  <si>
    <t>PKS1I39</t>
  </si>
  <si>
    <t>213148020812</t>
  </si>
  <si>
    <t>OZR7B70</t>
  </si>
  <si>
    <t>223391674806</t>
  </si>
  <si>
    <t>31/09/2025</t>
  </si>
  <si>
    <t>PLS1E39</t>
  </si>
  <si>
    <t>223498874322</t>
  </si>
  <si>
    <t>PJO3A80</t>
  </si>
  <si>
    <t>244004094984</t>
  </si>
  <si>
    <t>SKJ7D62</t>
  </si>
  <si>
    <t>244181377660</t>
  </si>
  <si>
    <t>OLD1G02</t>
  </si>
  <si>
    <t>223564347941</t>
  </si>
  <si>
    <t>PBK8F68</t>
  </si>
  <si>
    <t>233891694377</t>
  </si>
  <si>
    <t>30/02/2025</t>
  </si>
  <si>
    <t>OZV7973</t>
  </si>
  <si>
    <t>243961457786</t>
  </si>
  <si>
    <t>MOTORISTAS ATUAIS ROTEIROS PEPSICO</t>
  </si>
  <si>
    <t>TOXICOLÓGICO</t>
  </si>
  <si>
    <t>ASO</t>
  </si>
  <si>
    <t>1°</t>
  </si>
  <si>
    <t xml:space="preserve">                      QUANTIDADE DE MOTORISTAS</t>
  </si>
  <si>
    <t>1 TURNO</t>
  </si>
  <si>
    <t>2 TURNO</t>
  </si>
  <si>
    <t>3 TURNO</t>
  </si>
  <si>
    <t>RDI2F74</t>
  </si>
  <si>
    <t xml:space="preserve">               TOTAL=</t>
  </si>
  <si>
    <t>PSF8G68</t>
  </si>
  <si>
    <t>OXU9218</t>
  </si>
  <si>
    <t>KRR9A92</t>
  </si>
  <si>
    <t>QTW6C71</t>
  </si>
  <si>
    <t>NA/</t>
  </si>
  <si>
    <t>PXO7I32</t>
  </si>
  <si>
    <t>OWN4J49</t>
  </si>
  <si>
    <t>3°</t>
  </si>
  <si>
    <t>DOCUMENTOS AZZAF</t>
  </si>
  <si>
    <t>AGERBA CADASTRAL</t>
  </si>
  <si>
    <t>CERTIDÃO FEDERATIVA</t>
  </si>
  <si>
    <t>CERTIDÃO MUNICIPAL</t>
  </si>
  <si>
    <t>CERTIFICADO CADASTUR</t>
  </si>
  <si>
    <t>0901.2023/006399</t>
  </si>
  <si>
    <t xml:space="preserve">F72E.CA03.167B.4DE2
</t>
  </si>
  <si>
    <t>52.065-9</t>
  </si>
  <si>
    <t>17.304.967/0001-60</t>
  </si>
  <si>
    <t>Contagem de NOME</t>
  </si>
  <si>
    <t>Total Geral</t>
  </si>
  <si>
    <t>Terceiro</t>
  </si>
  <si>
    <t>Terceiro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</si>
</sst>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Verdana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scheme val="minor"/>
    </font>
    <font>
      <u/>
      <sz val="10"/>
      <color theme="10"/>
      <name val="Times New Roman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5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499984740745262"/>
        <bgColor rgb="FF548DD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theme="1"/>
      </patternFill>
    </fill>
    <fill>
      <patternFill patternType="solid">
        <fgColor theme="9" tint="-0.249977111117893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969696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rgb="FF0070C0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double">
        <color theme="1"/>
      </right>
      <top style="double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double">
        <color theme="4"/>
      </left>
      <right style="double">
        <color theme="4"/>
      </right>
      <top style="double">
        <color theme="4"/>
      </top>
      <bottom style="thick">
        <color theme="1" tint="4.9989318521683403E-2"/>
      </bottom>
      <diagonal/>
    </border>
    <border>
      <left style="double">
        <color theme="4"/>
      </left>
      <right style="thick">
        <color theme="1" tint="4.9989318521683403E-2"/>
      </right>
      <top style="double">
        <color theme="4"/>
      </top>
      <bottom style="thick">
        <color theme="1" tint="4.9989318521683403E-2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theme="4"/>
      </right>
      <top style="double">
        <color theme="4"/>
      </top>
      <bottom style="thick">
        <color theme="1" tint="4.9989318521683403E-2"/>
      </bottom>
      <diagonal/>
    </border>
    <border>
      <left style="double">
        <color theme="4"/>
      </left>
      <right style="medium">
        <color indexed="64"/>
      </right>
      <top style="double">
        <color theme="4"/>
      </top>
      <bottom style="thick">
        <color theme="1" tint="4.9989318521683403E-2"/>
      </bottom>
      <diagonal/>
    </border>
    <border>
      <left/>
      <right/>
      <top style="medium">
        <color indexed="64"/>
      </top>
      <bottom style="thick">
        <color theme="1" tint="4.9989318521683403E-2"/>
      </bottom>
      <diagonal/>
    </border>
    <border>
      <left/>
      <right style="medium">
        <color indexed="64"/>
      </right>
      <top style="medium">
        <color indexed="64"/>
      </top>
      <bottom style="thick">
        <color theme="1" tint="4.9989318521683403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theme="4"/>
      </right>
      <top style="thick">
        <color indexed="64"/>
      </top>
      <bottom style="double">
        <color theme="4"/>
      </bottom>
      <diagonal/>
    </border>
    <border>
      <left style="double">
        <color theme="4"/>
      </left>
      <right style="double">
        <color theme="4"/>
      </right>
      <top style="thick">
        <color indexed="64"/>
      </top>
      <bottom style="double">
        <color theme="4"/>
      </bottom>
      <diagonal/>
    </border>
    <border>
      <left style="double">
        <color theme="4"/>
      </left>
      <right style="thick">
        <color indexed="64"/>
      </right>
      <top style="thick">
        <color indexed="64"/>
      </top>
      <bottom style="double">
        <color theme="4"/>
      </bottom>
      <diagonal/>
    </border>
    <border>
      <left style="thick">
        <color indexed="64"/>
      </left>
      <right style="double">
        <color theme="4"/>
      </right>
      <top style="double">
        <color theme="4"/>
      </top>
      <bottom style="thick">
        <color theme="1" tint="4.9989318521683403E-2"/>
      </bottom>
      <diagonal/>
    </border>
    <border>
      <left style="double">
        <color theme="4"/>
      </left>
      <right style="thick">
        <color indexed="64"/>
      </right>
      <top style="double">
        <color theme="4"/>
      </top>
      <bottom style="thick">
        <color theme="1" tint="4.9989318521683403E-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6" fillId="0" borderId="0"/>
    <xf numFmtId="0" fontId="1" fillId="0" borderId="0"/>
    <xf numFmtId="0" fontId="2" fillId="0" borderId="0" applyNumberFormat="0" applyFill="0" applyBorder="0" applyAlignment="0" applyProtection="0"/>
    <xf numFmtId="0" fontId="6" fillId="0" borderId="0"/>
    <xf numFmtId="0" fontId="7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left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0" fontId="0" fillId="0" borderId="0" xfId="0" applyNumberFormat="1" applyAlignment="1">
      <alignment horizontal="center"/>
    </xf>
    <xf numFmtId="0" fontId="11" fillId="9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10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2" fillId="0" borderId="0" xfId="0" applyFont="1"/>
    <xf numFmtId="0" fontId="11" fillId="10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14" fontId="12" fillId="5" borderId="5" xfId="0" applyNumberFormat="1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0" fillId="2" borderId="0" xfId="0" applyFill="1"/>
    <xf numFmtId="0" fontId="17" fillId="2" borderId="0" xfId="0" applyFont="1" applyFill="1" applyAlignment="1">
      <alignment horizontal="left" vertical="center"/>
    </xf>
    <xf numFmtId="0" fontId="17" fillId="2" borderId="0" xfId="0" applyFont="1" applyFill="1"/>
    <xf numFmtId="0" fontId="17" fillId="16" borderId="14" xfId="0" applyFont="1" applyFill="1" applyBorder="1"/>
    <xf numFmtId="0" fontId="17" fillId="16" borderId="15" xfId="0" applyFont="1" applyFill="1" applyBorder="1"/>
    <xf numFmtId="0" fontId="17" fillId="16" borderId="16" xfId="0" applyFont="1" applyFill="1" applyBorder="1"/>
    <xf numFmtId="0" fontId="0" fillId="12" borderId="13" xfId="0" applyFill="1" applyBorder="1"/>
    <xf numFmtId="0" fontId="0" fillId="12" borderId="20" xfId="0" applyFill="1" applyBorder="1"/>
    <xf numFmtId="0" fontId="0" fillId="14" borderId="8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14" fontId="0" fillId="14" borderId="10" xfId="0" applyNumberFormat="1" applyFill="1" applyBorder="1" applyAlignment="1">
      <alignment horizontal="center"/>
    </xf>
    <xf numFmtId="14" fontId="0" fillId="14" borderId="13" xfId="0" applyNumberFormat="1" applyFill="1" applyBorder="1" applyAlignment="1">
      <alignment horizontal="center"/>
    </xf>
    <xf numFmtId="14" fontId="0" fillId="14" borderId="11" xfId="0" applyNumberFormat="1" applyFill="1" applyBorder="1" applyAlignment="1">
      <alignment horizontal="center"/>
    </xf>
    <xf numFmtId="0" fontId="0" fillId="14" borderId="8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49" fontId="0" fillId="14" borderId="8" xfId="0" applyNumberFormat="1" applyFill="1" applyBorder="1" applyAlignment="1">
      <alignment horizontal="center" vertical="center"/>
    </xf>
    <xf numFmtId="14" fontId="0" fillId="14" borderId="10" xfId="0" applyNumberFormat="1" applyFill="1" applyBorder="1" applyAlignment="1">
      <alignment horizontal="center" vertical="center"/>
    </xf>
    <xf numFmtId="0" fontId="17" fillId="17" borderId="17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17" fillId="15" borderId="11" xfId="0" applyFont="1" applyFill="1" applyBorder="1" applyAlignment="1">
      <alignment horizontal="center"/>
    </xf>
    <xf numFmtId="14" fontId="0" fillId="2" borderId="19" xfId="0" applyNumberFormat="1" applyFill="1" applyBorder="1" applyAlignment="1">
      <alignment horizontal="center"/>
    </xf>
    <xf numFmtId="0" fontId="0" fillId="14" borderId="17" xfId="0" applyFill="1" applyBorder="1" applyAlignment="1">
      <alignment horizontal="center" vertical="center"/>
    </xf>
    <xf numFmtId="0" fontId="0" fillId="14" borderId="17" xfId="0" applyFill="1" applyBorder="1" applyAlignment="1">
      <alignment horizontal="center"/>
    </xf>
    <xf numFmtId="0" fontId="0" fillId="12" borderId="21" xfId="0" applyFill="1" applyBorder="1" applyAlignment="1">
      <alignment horizontal="center" vertical="center"/>
    </xf>
    <xf numFmtId="0" fontId="17" fillId="12" borderId="20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7" fillId="13" borderId="11" xfId="0" applyFont="1" applyFill="1" applyBorder="1" applyAlignment="1">
      <alignment horizontal="center"/>
    </xf>
    <xf numFmtId="0" fontId="0" fillId="2" borderId="0" xfId="0" applyFill="1" applyAlignment="1">
      <alignment vertical="top"/>
    </xf>
    <xf numFmtId="0" fontId="19" fillId="18" borderId="33" xfId="0" applyFont="1" applyFill="1" applyBorder="1"/>
    <xf numFmtId="0" fontId="19" fillId="18" borderId="34" xfId="0" applyFont="1" applyFill="1" applyBorder="1"/>
    <xf numFmtId="0" fontId="19" fillId="18" borderId="35" xfId="0" applyFont="1" applyFill="1" applyBorder="1"/>
    <xf numFmtId="0" fontId="0" fillId="2" borderId="36" xfId="0" applyFill="1" applyBorder="1"/>
    <xf numFmtId="0" fontId="0" fillId="2" borderId="18" xfId="0" applyFill="1" applyBorder="1"/>
    <xf numFmtId="0" fontId="0" fillId="2" borderId="37" xfId="0" applyFill="1" applyBorder="1"/>
    <xf numFmtId="14" fontId="20" fillId="19" borderId="5" xfId="0" applyNumberFormat="1" applyFont="1" applyFill="1" applyBorder="1" applyAlignment="1">
      <alignment horizontal="center"/>
    </xf>
    <xf numFmtId="0" fontId="20" fillId="19" borderId="5" xfId="0" applyFont="1" applyFill="1" applyBorder="1" applyAlignment="1">
      <alignment horizontal="center"/>
    </xf>
    <xf numFmtId="0" fontId="0" fillId="0" borderId="5" xfId="0" applyBorder="1"/>
    <xf numFmtId="0" fontId="12" fillId="0" borderId="5" xfId="0" applyFont="1" applyBorder="1" applyAlignment="1">
      <alignment horizontal="center"/>
    </xf>
    <xf numFmtId="0" fontId="9" fillId="0" borderId="5" xfId="0" applyFont="1" applyBorder="1" applyAlignment="1">
      <alignment vertical="center"/>
    </xf>
    <xf numFmtId="0" fontId="5" fillId="4" borderId="5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5" fillId="20" borderId="5" xfId="0" applyFont="1" applyFill="1" applyBorder="1" applyAlignment="1">
      <alignment horizontal="center" vertical="center"/>
    </xf>
    <xf numFmtId="0" fontId="5" fillId="0" borderId="5" xfId="3" applyFont="1" applyBorder="1" applyAlignment="1">
      <alignment horizontal="left" vertical="center"/>
    </xf>
    <xf numFmtId="14" fontId="9" fillId="0" borderId="5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14" fontId="3" fillId="5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3" fillId="5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 wrapText="1"/>
    </xf>
    <xf numFmtId="14" fontId="5" fillId="5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5" xfId="5" applyFont="1" applyBorder="1" applyAlignment="1">
      <alignment vertical="center" wrapText="1"/>
    </xf>
    <xf numFmtId="0" fontId="5" fillId="0" borderId="5" xfId="2" applyFont="1" applyBorder="1" applyAlignment="1">
      <alignment horizontal="left" vertical="center"/>
    </xf>
    <xf numFmtId="0" fontId="5" fillId="0" borderId="5" xfId="2" applyFont="1" applyBorder="1" applyAlignment="1">
      <alignment vertical="center"/>
    </xf>
    <xf numFmtId="14" fontId="3" fillId="0" borderId="5" xfId="0" applyNumberFormat="1" applyFont="1" applyBorder="1" applyAlignment="1">
      <alignment horizontal="center" vertical="center"/>
    </xf>
    <xf numFmtId="14" fontId="3" fillId="5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left" vertical="center"/>
    </xf>
    <xf numFmtId="0" fontId="5" fillId="21" borderId="5" xfId="0" applyFont="1" applyFill="1" applyBorder="1" applyAlignment="1">
      <alignment horizontal="left" vertical="center"/>
    </xf>
    <xf numFmtId="0" fontId="5" fillId="0" borderId="5" xfId="5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5" fillId="0" borderId="5" xfId="5" applyFont="1" applyBorder="1" applyAlignment="1">
      <alignment horizontal="center" wrapText="1"/>
    </xf>
    <xf numFmtId="0" fontId="5" fillId="0" borderId="5" xfId="2" applyFont="1" applyBorder="1" applyAlignment="1">
      <alignment horizontal="center"/>
    </xf>
    <xf numFmtId="0" fontId="5" fillId="0" borderId="5" xfId="5" applyFont="1" applyBorder="1" applyAlignment="1">
      <alignment horizontal="center"/>
    </xf>
    <xf numFmtId="0" fontId="5" fillId="0" borderId="5" xfId="2" applyFont="1" applyBorder="1" applyAlignment="1">
      <alignment horizontal="center" wrapText="1"/>
    </xf>
    <xf numFmtId="0" fontId="21" fillId="22" borderId="0" xfId="0" applyFont="1" applyFill="1" applyAlignment="1">
      <alignment horizontal="center"/>
    </xf>
    <xf numFmtId="0" fontId="5" fillId="22" borderId="0" xfId="0" applyFont="1" applyFill="1" applyAlignment="1">
      <alignment horizontal="center"/>
    </xf>
    <xf numFmtId="0" fontId="13" fillId="6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4" fillId="8" borderId="6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/>
    </xf>
    <xf numFmtId="0" fontId="13" fillId="6" borderId="38" xfId="0" applyFont="1" applyFill="1" applyBorder="1" applyAlignment="1">
      <alignment horizontal="center" vertical="center"/>
    </xf>
    <xf numFmtId="9" fontId="0" fillId="0" borderId="0" xfId="11" applyFont="1" applyAlignment="1">
      <alignment horizontal="center"/>
    </xf>
    <xf numFmtId="0" fontId="22" fillId="20" borderId="40" xfId="0" applyFont="1" applyFill="1" applyBorder="1" applyAlignment="1">
      <alignment horizontal="center"/>
    </xf>
    <xf numFmtId="0" fontId="23" fillId="2" borderId="40" xfId="0" applyFont="1" applyFill="1" applyBorder="1" applyAlignment="1">
      <alignment horizontal="center"/>
    </xf>
    <xf numFmtId="0" fontId="23" fillId="2" borderId="39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9" fontId="17" fillId="0" borderId="0" xfId="11" applyFont="1" applyAlignment="1">
      <alignment horizontal="center"/>
    </xf>
    <xf numFmtId="20" fontId="1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4" fillId="23" borderId="0" xfId="0" applyFont="1" applyFill="1" applyAlignment="1">
      <alignment horizontal="center" vertical="center"/>
    </xf>
    <xf numFmtId="14" fontId="24" fillId="23" borderId="0" xfId="0" applyNumberFormat="1" applyFont="1" applyFill="1" applyAlignment="1">
      <alignment horizontal="center" vertical="center"/>
    </xf>
    <xf numFmtId="14" fontId="0" fillId="0" borderId="0" xfId="0" applyNumberFormat="1"/>
    <xf numFmtId="0" fontId="5" fillId="0" borderId="41" xfId="0" applyFont="1" applyBorder="1" applyAlignment="1">
      <alignment horizontal="center"/>
    </xf>
    <xf numFmtId="0" fontId="11" fillId="9" borderId="42" xfId="0" applyFont="1" applyFill="1" applyBorder="1" applyAlignment="1">
      <alignment horizontal="center"/>
    </xf>
    <xf numFmtId="0" fontId="11" fillId="9" borderId="43" xfId="0" applyFont="1" applyFill="1" applyBorder="1" applyAlignment="1">
      <alignment horizontal="center"/>
    </xf>
    <xf numFmtId="0" fontId="11" fillId="9" borderId="43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/>
    </xf>
    <xf numFmtId="0" fontId="11" fillId="24" borderId="43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/>
    </xf>
    <xf numFmtId="14" fontId="5" fillId="0" borderId="43" xfId="0" applyNumberFormat="1" applyFont="1" applyBorder="1" applyAlignment="1">
      <alignment horizontal="center"/>
    </xf>
    <xf numFmtId="0" fontId="5" fillId="2" borderId="4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0" xfId="0" pivotButton="1"/>
    <xf numFmtId="0" fontId="5" fillId="0" borderId="0" xfId="0" applyFont="1" applyAlignment="1">
      <alignment horizontal="center" wrapText="1"/>
    </xf>
    <xf numFmtId="0" fontId="13" fillId="6" borderId="1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38" xfId="0" applyFont="1" applyFill="1" applyBorder="1" applyAlignment="1">
      <alignment horizontal="center" vertical="center"/>
    </xf>
    <xf numFmtId="0" fontId="17" fillId="11" borderId="29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4" fillId="8" borderId="6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4" fillId="7" borderId="3" xfId="0" applyFont="1" applyFill="1" applyBorder="1" applyAlignment="1">
      <alignment horizontal="center"/>
    </xf>
    <xf numFmtId="0" fontId="18" fillId="12" borderId="28" xfId="0" applyFont="1" applyFill="1" applyBorder="1" applyAlignment="1">
      <alignment horizontal="center" vertical="center"/>
    </xf>
    <xf numFmtId="0" fontId="18" fillId="12" borderId="26" xfId="0" applyFont="1" applyFill="1" applyBorder="1" applyAlignment="1">
      <alignment horizontal="center" vertical="center"/>
    </xf>
    <xf numFmtId="0" fontId="18" fillId="12" borderId="27" xfId="0" applyFont="1" applyFill="1" applyBorder="1" applyAlignment="1">
      <alignment horizontal="center" vertical="center"/>
    </xf>
    <xf numFmtId="0" fontId="18" fillId="12" borderId="12" xfId="0" applyFont="1" applyFill="1" applyBorder="1" applyAlignment="1">
      <alignment horizontal="center" vertical="center"/>
    </xf>
    <xf numFmtId="0" fontId="18" fillId="12" borderId="22" xfId="0" applyFont="1" applyFill="1" applyBorder="1" applyAlignment="1">
      <alignment horizontal="center" vertical="center"/>
    </xf>
    <xf numFmtId="0" fontId="18" fillId="12" borderId="23" xfId="0" applyFont="1" applyFill="1" applyBorder="1" applyAlignment="1">
      <alignment horizontal="center" vertical="center"/>
    </xf>
    <xf numFmtId="0" fontId="17" fillId="15" borderId="30" xfId="0" applyFont="1" applyFill="1" applyBorder="1" applyAlignment="1">
      <alignment horizontal="center"/>
    </xf>
    <xf numFmtId="0" fontId="17" fillId="15" borderId="31" xfId="0" applyFont="1" applyFill="1" applyBorder="1" applyAlignment="1">
      <alignment horizontal="center"/>
    </xf>
    <xf numFmtId="0" fontId="17" fillId="15" borderId="32" xfId="0" applyFont="1" applyFill="1" applyBorder="1" applyAlignment="1">
      <alignment horizontal="center"/>
    </xf>
  </cellXfs>
  <cellStyles count="12">
    <cellStyle name="Hiperlink 2" xfId="4" xr:uid="{00000000-0005-0000-0000-000000000000}"/>
    <cellStyle name="Hiperlink 3" xfId="7" xr:uid="{00000000-0005-0000-0000-000001000000}"/>
    <cellStyle name="Normal" xfId="0" builtinId="0"/>
    <cellStyle name="Normal 12" xfId="2" xr:uid="{00000000-0005-0000-0000-000003000000}"/>
    <cellStyle name="Normal 15 13 2" xfId="10" xr:uid="{00000000-0005-0000-0000-000004000000}"/>
    <cellStyle name="Normal 15 9 5" xfId="3" xr:uid="{00000000-0005-0000-0000-000005000000}"/>
    <cellStyle name="Normal 17 2 2 2 3 4" xfId="8" xr:uid="{00000000-0005-0000-0000-000006000000}"/>
    <cellStyle name="Normal 19 3 2 2 3 4" xfId="9" xr:uid="{00000000-0005-0000-0000-000007000000}"/>
    <cellStyle name="Normal 2 2 2" xfId="6" xr:uid="{00000000-0005-0000-0000-000008000000}"/>
    <cellStyle name="Normal 2 84" xfId="5" xr:uid="{00000000-0005-0000-0000-000009000000}"/>
    <cellStyle name="Normal 3 2 3" xfId="1" xr:uid="{00000000-0005-0000-0000-00000A000000}"/>
    <cellStyle name="Percentagem" xfId="11" builtinId="5"/>
  </cellStyles>
  <dxfs count="13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theme="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55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16</xdr:row>
      <xdr:rowOff>0</xdr:rowOff>
    </xdr:from>
    <xdr:to>
      <xdr:col>5</xdr:col>
      <xdr:colOff>57150</xdr:colOff>
      <xdr:row>17</xdr:row>
      <xdr:rowOff>19050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id="{A6C9E8A9-C495-4784-A149-CE291DD3F963}"/>
            </a:ext>
          </a:extLst>
        </xdr:cNvPr>
        <xdr:cNvGrpSpPr>
          <a:grpSpLocks/>
        </xdr:cNvGrpSpPr>
      </xdr:nvGrpSpPr>
      <xdr:grpSpPr bwMode="auto">
        <a:xfrm>
          <a:off x="2847975" y="2590800"/>
          <a:ext cx="1666875" cy="180975"/>
          <a:chOff x="1072" y="3905"/>
          <a:chExt cx="6800" cy="2937"/>
        </a:xfrm>
      </xdr:grpSpPr>
      <xdr:sp macro="" textlink="">
        <xdr:nvSpPr>
          <xdr:cNvPr id="6" name="WordArt 8">
            <a:extLst>
              <a:ext uri="{FF2B5EF4-FFF2-40B4-BE49-F238E27FC236}">
                <a16:creationId xmlns:a16="http://schemas.microsoft.com/office/drawing/2014/main" id="{C9375351-F3A8-E7E1-A118-365412B429F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7" name="WordArt 9">
            <a:extLst>
              <a:ext uri="{FF2B5EF4-FFF2-40B4-BE49-F238E27FC236}">
                <a16:creationId xmlns:a16="http://schemas.microsoft.com/office/drawing/2014/main" id="{788D9959-EBAF-02FA-E6F7-6276BD6122AA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4</xdr:col>
      <xdr:colOff>533400</xdr:colOff>
      <xdr:row>16</xdr:row>
      <xdr:rowOff>0</xdr:rowOff>
    </xdr:from>
    <xdr:to>
      <xdr:col>6</xdr:col>
      <xdr:colOff>57150</xdr:colOff>
      <xdr:row>17</xdr:row>
      <xdr:rowOff>19050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7D9AD10-F689-48EA-B420-40B70AD4F78F}"/>
            </a:ext>
          </a:extLst>
        </xdr:cNvPr>
        <xdr:cNvGrpSpPr>
          <a:grpSpLocks/>
        </xdr:cNvGrpSpPr>
      </xdr:nvGrpSpPr>
      <xdr:grpSpPr bwMode="auto">
        <a:xfrm>
          <a:off x="4171950" y="2590800"/>
          <a:ext cx="1066800" cy="180975"/>
          <a:chOff x="1072" y="3905"/>
          <a:chExt cx="6800" cy="2937"/>
        </a:xfrm>
      </xdr:grpSpPr>
      <xdr:sp macro="" textlink="">
        <xdr:nvSpPr>
          <xdr:cNvPr id="9" name="WordArt 8">
            <a:extLst>
              <a:ext uri="{FF2B5EF4-FFF2-40B4-BE49-F238E27FC236}">
                <a16:creationId xmlns:a16="http://schemas.microsoft.com/office/drawing/2014/main" id="{F669C37D-835C-4BFE-F241-97636D35B63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10" name="WordArt 9">
            <a:extLst>
              <a:ext uri="{FF2B5EF4-FFF2-40B4-BE49-F238E27FC236}">
                <a16:creationId xmlns:a16="http://schemas.microsoft.com/office/drawing/2014/main" id="{ADA72894-C49B-F62D-497F-6543E4D08FF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id="{82406D1F-1E9C-43A6-BCCB-6D3C9FFA62E6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3" name="WordArt 8">
            <a:extLst>
              <a:ext uri="{FF2B5EF4-FFF2-40B4-BE49-F238E27FC236}">
                <a16:creationId xmlns:a16="http://schemas.microsoft.com/office/drawing/2014/main" id="{E7E1B2F7-99E9-A2E2-0279-B54F937465D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4" name="WordArt 9">
            <a:extLst>
              <a:ext uri="{FF2B5EF4-FFF2-40B4-BE49-F238E27FC236}">
                <a16:creationId xmlns:a16="http://schemas.microsoft.com/office/drawing/2014/main" id="{F25790C9-135C-8575-B11B-42CB884D5F0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5" name="Group 7">
          <a:extLst>
            <a:ext uri="{FF2B5EF4-FFF2-40B4-BE49-F238E27FC236}">
              <a16:creationId xmlns:a16="http://schemas.microsoft.com/office/drawing/2014/main" id="{0D6AA598-607E-4A14-B96C-6D3B0117DC13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6" name="WordArt 8">
            <a:extLst>
              <a:ext uri="{FF2B5EF4-FFF2-40B4-BE49-F238E27FC236}">
                <a16:creationId xmlns:a16="http://schemas.microsoft.com/office/drawing/2014/main" id="{D7B463BD-C585-D690-F2F5-06DC9EC5617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7" name="WordArt 9">
            <a:extLst>
              <a:ext uri="{FF2B5EF4-FFF2-40B4-BE49-F238E27FC236}">
                <a16:creationId xmlns:a16="http://schemas.microsoft.com/office/drawing/2014/main" id="{31EA8B3D-8AE3-CA02-C212-96B2FED65EC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1AD8B1E-62DE-4324-9B49-ED4369ED18BA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9" name="WordArt 8">
            <a:extLst>
              <a:ext uri="{FF2B5EF4-FFF2-40B4-BE49-F238E27FC236}">
                <a16:creationId xmlns:a16="http://schemas.microsoft.com/office/drawing/2014/main" id="{9A53DABD-AAF2-2DF6-DC04-A85460F87CB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10" name="WordArt 9">
            <a:extLst>
              <a:ext uri="{FF2B5EF4-FFF2-40B4-BE49-F238E27FC236}">
                <a16:creationId xmlns:a16="http://schemas.microsoft.com/office/drawing/2014/main" id="{E42782E8-134D-473D-C088-25568C7329E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11" name="Group 7">
          <a:extLst>
            <a:ext uri="{FF2B5EF4-FFF2-40B4-BE49-F238E27FC236}">
              <a16:creationId xmlns:a16="http://schemas.microsoft.com/office/drawing/2014/main" id="{414BDC88-A7D8-43A9-88BE-E8B84D78B108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12" name="WordArt 8">
            <a:extLst>
              <a:ext uri="{FF2B5EF4-FFF2-40B4-BE49-F238E27FC236}">
                <a16:creationId xmlns:a16="http://schemas.microsoft.com/office/drawing/2014/main" id="{DB04FBE0-BDB1-F09C-9916-1AB45030DD9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13" name="WordArt 9">
            <a:extLst>
              <a:ext uri="{FF2B5EF4-FFF2-40B4-BE49-F238E27FC236}">
                <a16:creationId xmlns:a16="http://schemas.microsoft.com/office/drawing/2014/main" id="{223C7F68-B024-4C18-A0DD-6CBE34B58EE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14" name="Group 7">
          <a:extLst>
            <a:ext uri="{FF2B5EF4-FFF2-40B4-BE49-F238E27FC236}">
              <a16:creationId xmlns:a16="http://schemas.microsoft.com/office/drawing/2014/main" id="{6E39C1A0-CA5D-459B-8D32-0325FB44E12A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15" name="WordArt 8">
            <a:extLst>
              <a:ext uri="{FF2B5EF4-FFF2-40B4-BE49-F238E27FC236}">
                <a16:creationId xmlns:a16="http://schemas.microsoft.com/office/drawing/2014/main" id="{92B2BD8F-05A2-6B29-27D3-6EFCF89BCDF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16" name="WordArt 9">
            <a:extLst>
              <a:ext uri="{FF2B5EF4-FFF2-40B4-BE49-F238E27FC236}">
                <a16:creationId xmlns:a16="http://schemas.microsoft.com/office/drawing/2014/main" id="{BEF31753-829D-932A-EB40-72DA537C6C8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17" name="Group 7">
          <a:extLst>
            <a:ext uri="{FF2B5EF4-FFF2-40B4-BE49-F238E27FC236}">
              <a16:creationId xmlns:a16="http://schemas.microsoft.com/office/drawing/2014/main" id="{0481A6FF-255A-4C52-9C61-2606E8334917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18" name="WordArt 8">
            <a:extLst>
              <a:ext uri="{FF2B5EF4-FFF2-40B4-BE49-F238E27FC236}">
                <a16:creationId xmlns:a16="http://schemas.microsoft.com/office/drawing/2014/main" id="{8885D0F2-AF23-12E8-47A2-79BD3D92F49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19" name="WordArt 9">
            <a:extLst>
              <a:ext uri="{FF2B5EF4-FFF2-40B4-BE49-F238E27FC236}">
                <a16:creationId xmlns:a16="http://schemas.microsoft.com/office/drawing/2014/main" id="{A672FA8B-0398-3856-2D01-1BA0A099FAF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20" name="Group 7">
          <a:extLst>
            <a:ext uri="{FF2B5EF4-FFF2-40B4-BE49-F238E27FC236}">
              <a16:creationId xmlns:a16="http://schemas.microsoft.com/office/drawing/2014/main" id="{2C49F82E-1EE8-44DD-9B30-197222EDC53C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21" name="WordArt 8">
            <a:extLst>
              <a:ext uri="{FF2B5EF4-FFF2-40B4-BE49-F238E27FC236}">
                <a16:creationId xmlns:a16="http://schemas.microsoft.com/office/drawing/2014/main" id="{B0641C46-2332-E497-8C5B-A995DFEE3D9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22" name="WordArt 9">
            <a:extLst>
              <a:ext uri="{FF2B5EF4-FFF2-40B4-BE49-F238E27FC236}">
                <a16:creationId xmlns:a16="http://schemas.microsoft.com/office/drawing/2014/main" id="{EA14F055-9D66-C8A4-61CA-3A01471BA08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23" name="Group 7">
          <a:extLst>
            <a:ext uri="{FF2B5EF4-FFF2-40B4-BE49-F238E27FC236}">
              <a16:creationId xmlns:a16="http://schemas.microsoft.com/office/drawing/2014/main" id="{C8CC6467-8B88-4BC8-8422-CC654AA5FA69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24" name="WordArt 8">
            <a:extLst>
              <a:ext uri="{FF2B5EF4-FFF2-40B4-BE49-F238E27FC236}">
                <a16:creationId xmlns:a16="http://schemas.microsoft.com/office/drawing/2014/main" id="{BCB4D669-C4CA-BA21-84C1-8D2F6A68BA4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25" name="WordArt 9">
            <a:extLst>
              <a:ext uri="{FF2B5EF4-FFF2-40B4-BE49-F238E27FC236}">
                <a16:creationId xmlns:a16="http://schemas.microsoft.com/office/drawing/2014/main" id="{C60B2111-AD3F-AAC8-9136-1B825845B39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26" name="Group 7">
          <a:extLst>
            <a:ext uri="{FF2B5EF4-FFF2-40B4-BE49-F238E27FC236}">
              <a16:creationId xmlns:a16="http://schemas.microsoft.com/office/drawing/2014/main" id="{6060558F-98A2-474D-9172-8B647A2D2813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27" name="WordArt 8">
            <a:extLst>
              <a:ext uri="{FF2B5EF4-FFF2-40B4-BE49-F238E27FC236}">
                <a16:creationId xmlns:a16="http://schemas.microsoft.com/office/drawing/2014/main" id="{F88E8DBF-3BFE-DFFD-560A-0D9DEE8C2B8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28" name="WordArt 9">
            <a:extLst>
              <a:ext uri="{FF2B5EF4-FFF2-40B4-BE49-F238E27FC236}">
                <a16:creationId xmlns:a16="http://schemas.microsoft.com/office/drawing/2014/main" id="{0C372041-0BF7-CC3F-71C7-A042186E517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29" name="Group 7">
          <a:extLst>
            <a:ext uri="{FF2B5EF4-FFF2-40B4-BE49-F238E27FC236}">
              <a16:creationId xmlns:a16="http://schemas.microsoft.com/office/drawing/2014/main" id="{D7B7418C-B419-494F-90E1-7B5DEC53CA69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30" name="WordArt 8">
            <a:extLst>
              <a:ext uri="{FF2B5EF4-FFF2-40B4-BE49-F238E27FC236}">
                <a16:creationId xmlns:a16="http://schemas.microsoft.com/office/drawing/2014/main" id="{8DB6042D-EB32-C220-3298-A36339A8F93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31" name="WordArt 9">
            <a:extLst>
              <a:ext uri="{FF2B5EF4-FFF2-40B4-BE49-F238E27FC236}">
                <a16:creationId xmlns:a16="http://schemas.microsoft.com/office/drawing/2014/main" id="{EE447825-9032-0E0E-EF1D-EA99C4910505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32" name="Group 7">
          <a:extLst>
            <a:ext uri="{FF2B5EF4-FFF2-40B4-BE49-F238E27FC236}">
              <a16:creationId xmlns:a16="http://schemas.microsoft.com/office/drawing/2014/main" id="{8BF03C69-6CB3-4D94-B203-3FF7366109FB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33" name="WordArt 8">
            <a:extLst>
              <a:ext uri="{FF2B5EF4-FFF2-40B4-BE49-F238E27FC236}">
                <a16:creationId xmlns:a16="http://schemas.microsoft.com/office/drawing/2014/main" id="{519834FE-E89D-6268-C633-D3E21B0D2F1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34" name="WordArt 9">
            <a:extLst>
              <a:ext uri="{FF2B5EF4-FFF2-40B4-BE49-F238E27FC236}">
                <a16:creationId xmlns:a16="http://schemas.microsoft.com/office/drawing/2014/main" id="{F8953F53-46D5-FEBD-4A9C-8472C9FDBD3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35" name="Group 7">
          <a:extLst>
            <a:ext uri="{FF2B5EF4-FFF2-40B4-BE49-F238E27FC236}">
              <a16:creationId xmlns:a16="http://schemas.microsoft.com/office/drawing/2014/main" id="{69E54476-9E2D-4350-8A27-36FA372FCA9B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36" name="WordArt 8">
            <a:extLst>
              <a:ext uri="{FF2B5EF4-FFF2-40B4-BE49-F238E27FC236}">
                <a16:creationId xmlns:a16="http://schemas.microsoft.com/office/drawing/2014/main" id="{ABA600FC-AA0B-DBC8-1C02-1F8ABEB1CCE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37" name="WordArt 9">
            <a:extLst>
              <a:ext uri="{FF2B5EF4-FFF2-40B4-BE49-F238E27FC236}">
                <a16:creationId xmlns:a16="http://schemas.microsoft.com/office/drawing/2014/main" id="{2E7274D2-9D2E-8F24-4F88-DE4C46ACEB97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76200</xdr:rowOff>
    </xdr:from>
    <xdr:to>
      <xdr:col>13</xdr:col>
      <xdr:colOff>2390775</xdr:colOff>
      <xdr:row>29</xdr:row>
      <xdr:rowOff>0</xdr:rowOff>
    </xdr:to>
    <xdr:sp macro="" textlink="">
      <xdr:nvSpPr>
        <xdr:cNvPr id="38" name="WordArt 2">
          <a:extLst>
            <a:ext uri="{FF2B5EF4-FFF2-40B4-BE49-F238E27FC236}">
              <a16:creationId xmlns:a16="http://schemas.microsoft.com/office/drawing/2014/main" id="{9F5166EE-CAE9-43E3-B448-65D5F861C26A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4441150" y="4610100"/>
          <a:ext cx="619125" cy="85725"/>
        </a:xfrm>
        <a:prstGeom prst="rect">
          <a:avLst/>
        </a:prstGeom>
      </xdr:spPr>
      <xdr:txBody>
        <a:bodyPr wrap="none" fromWordArt="1">
          <a:prstTxWarp prst="textInflateTop">
            <a:avLst>
              <a:gd name="adj" fmla="val 31917"/>
            </a:avLst>
          </a:prstTxWarp>
        </a:bodyPr>
        <a:lstStyle/>
        <a:p>
          <a:pPr algn="ctr" rtl="0">
            <a:buNone/>
          </a:pPr>
          <a:endParaRPr lang="pt-BR" sz="3600" u="sng" strike="sngStrike" kern="10" cap="small" spc="0">
            <a:ln>
              <a:noFill/>
            </a:ln>
            <a:gradFill rotWithShape="1">
              <a:gsLst>
                <a:gs pos="0">
                  <a:srgbClr val="FFFF00"/>
                </a:gs>
                <a:gs pos="50000">
                  <a:srgbClr val="000000"/>
                </a:gs>
                <a:gs pos="100000">
                  <a:srgbClr val="FFFF00"/>
                </a:gs>
              </a:gsLst>
              <a:lin ang="5400000" scaled="1"/>
            </a:gra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3</xdr:col>
      <xdr:colOff>476250</xdr:colOff>
      <xdr:row>28</xdr:row>
      <xdr:rowOff>76200</xdr:rowOff>
    </xdr:from>
    <xdr:to>
      <xdr:col>3</xdr:col>
      <xdr:colOff>2390775</xdr:colOff>
      <xdr:row>29</xdr:row>
      <xdr:rowOff>0</xdr:rowOff>
    </xdr:to>
    <xdr:sp macro="" textlink="">
      <xdr:nvSpPr>
        <xdr:cNvPr id="39" name="WordArt 2">
          <a:extLst>
            <a:ext uri="{FF2B5EF4-FFF2-40B4-BE49-F238E27FC236}">
              <a16:creationId xmlns:a16="http://schemas.microsoft.com/office/drawing/2014/main" id="{74EA1012-AE4A-448D-A6B6-24D62A7D8B9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600575" y="4610100"/>
          <a:ext cx="1143000" cy="85725"/>
        </a:xfrm>
        <a:prstGeom prst="rect">
          <a:avLst/>
        </a:prstGeom>
      </xdr:spPr>
      <xdr:txBody>
        <a:bodyPr wrap="none" fromWordArt="1">
          <a:prstTxWarp prst="textInflateTop">
            <a:avLst>
              <a:gd name="adj" fmla="val 31917"/>
            </a:avLst>
          </a:prstTxWarp>
        </a:bodyPr>
        <a:lstStyle/>
        <a:p>
          <a:pPr algn="ctr" rtl="0">
            <a:buNone/>
          </a:pPr>
          <a:endParaRPr lang="pt-BR" sz="3600" u="sng" strike="sngStrike" kern="10" cap="small" spc="0">
            <a:ln>
              <a:noFill/>
            </a:ln>
            <a:gradFill rotWithShape="1">
              <a:gsLst>
                <a:gs pos="0">
                  <a:srgbClr val="FFFF00"/>
                </a:gs>
                <a:gs pos="50000">
                  <a:srgbClr val="000000"/>
                </a:gs>
                <a:gs pos="100000">
                  <a:srgbClr val="FFFF00"/>
                </a:gs>
              </a:gsLst>
              <a:lin ang="5400000" scaled="1"/>
            </a:gra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40" name="Group 7">
          <a:extLst>
            <a:ext uri="{FF2B5EF4-FFF2-40B4-BE49-F238E27FC236}">
              <a16:creationId xmlns:a16="http://schemas.microsoft.com/office/drawing/2014/main" id="{E214D99D-7993-49C2-9BA7-0AA1523C1F1C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41" name="WordArt 8">
            <a:extLst>
              <a:ext uri="{FF2B5EF4-FFF2-40B4-BE49-F238E27FC236}">
                <a16:creationId xmlns:a16="http://schemas.microsoft.com/office/drawing/2014/main" id="{700C5D8E-5F7C-4267-09F4-94059F42311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42" name="WordArt 9">
            <a:extLst>
              <a:ext uri="{FF2B5EF4-FFF2-40B4-BE49-F238E27FC236}">
                <a16:creationId xmlns:a16="http://schemas.microsoft.com/office/drawing/2014/main" id="{B3BFC834-D898-22F8-95E8-565D4833BFB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43" name="Group 7">
          <a:extLst>
            <a:ext uri="{FF2B5EF4-FFF2-40B4-BE49-F238E27FC236}">
              <a16:creationId xmlns:a16="http://schemas.microsoft.com/office/drawing/2014/main" id="{CDFF14E6-4FEC-437A-8342-806D6BE9BAC9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44" name="WordArt 8">
            <a:extLst>
              <a:ext uri="{FF2B5EF4-FFF2-40B4-BE49-F238E27FC236}">
                <a16:creationId xmlns:a16="http://schemas.microsoft.com/office/drawing/2014/main" id="{E7C02CFF-899F-C7BE-A3EA-10B5E88FBFC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45" name="WordArt 9">
            <a:extLst>
              <a:ext uri="{FF2B5EF4-FFF2-40B4-BE49-F238E27FC236}">
                <a16:creationId xmlns:a16="http://schemas.microsoft.com/office/drawing/2014/main" id="{CD0633DE-4818-5743-F07C-E8694ED0ACE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46" name="Group 7">
          <a:extLst>
            <a:ext uri="{FF2B5EF4-FFF2-40B4-BE49-F238E27FC236}">
              <a16:creationId xmlns:a16="http://schemas.microsoft.com/office/drawing/2014/main" id="{762B7D96-97F4-4942-81D8-A31CC5256A18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47" name="WordArt 8">
            <a:extLst>
              <a:ext uri="{FF2B5EF4-FFF2-40B4-BE49-F238E27FC236}">
                <a16:creationId xmlns:a16="http://schemas.microsoft.com/office/drawing/2014/main" id="{93C2E35D-8C57-3F34-CDB8-3880FB8795AD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48" name="WordArt 9">
            <a:extLst>
              <a:ext uri="{FF2B5EF4-FFF2-40B4-BE49-F238E27FC236}">
                <a16:creationId xmlns:a16="http://schemas.microsoft.com/office/drawing/2014/main" id="{82B473BF-0C88-03E5-EA0B-558FC7D0B8E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49" name="Group 7">
          <a:extLst>
            <a:ext uri="{FF2B5EF4-FFF2-40B4-BE49-F238E27FC236}">
              <a16:creationId xmlns:a16="http://schemas.microsoft.com/office/drawing/2014/main" id="{B0F8C389-2139-47D2-A6B4-E5BEB4036227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50" name="WordArt 8">
            <a:extLst>
              <a:ext uri="{FF2B5EF4-FFF2-40B4-BE49-F238E27FC236}">
                <a16:creationId xmlns:a16="http://schemas.microsoft.com/office/drawing/2014/main" id="{8F7E569B-4B73-4106-3222-35CA8A9B908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51" name="WordArt 9">
            <a:extLst>
              <a:ext uri="{FF2B5EF4-FFF2-40B4-BE49-F238E27FC236}">
                <a16:creationId xmlns:a16="http://schemas.microsoft.com/office/drawing/2014/main" id="{BF4C85C0-AB35-BB87-8F9C-8FE3646299A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52" name="Group 7">
          <a:extLst>
            <a:ext uri="{FF2B5EF4-FFF2-40B4-BE49-F238E27FC236}">
              <a16:creationId xmlns:a16="http://schemas.microsoft.com/office/drawing/2014/main" id="{12CC2E76-9076-41F0-929C-B18B068C70B2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53" name="WordArt 8">
            <a:extLst>
              <a:ext uri="{FF2B5EF4-FFF2-40B4-BE49-F238E27FC236}">
                <a16:creationId xmlns:a16="http://schemas.microsoft.com/office/drawing/2014/main" id="{493E1347-4A05-3F81-1C40-F6F92B147BB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54" name="WordArt 9">
            <a:extLst>
              <a:ext uri="{FF2B5EF4-FFF2-40B4-BE49-F238E27FC236}">
                <a16:creationId xmlns:a16="http://schemas.microsoft.com/office/drawing/2014/main" id="{6676B880-4220-0945-A183-F2FCC4DFD426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55" name="Group 7">
          <a:extLst>
            <a:ext uri="{FF2B5EF4-FFF2-40B4-BE49-F238E27FC236}">
              <a16:creationId xmlns:a16="http://schemas.microsoft.com/office/drawing/2014/main" id="{418CF813-28D0-48F6-AA76-1C7CB8872587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56" name="WordArt 8">
            <a:extLst>
              <a:ext uri="{FF2B5EF4-FFF2-40B4-BE49-F238E27FC236}">
                <a16:creationId xmlns:a16="http://schemas.microsoft.com/office/drawing/2014/main" id="{9A053D37-C4F4-89DE-4753-5BF9E687D8F1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57" name="WordArt 9">
            <a:extLst>
              <a:ext uri="{FF2B5EF4-FFF2-40B4-BE49-F238E27FC236}">
                <a16:creationId xmlns:a16="http://schemas.microsoft.com/office/drawing/2014/main" id="{9C23FC3C-F4AF-FD14-B12E-B7F6987394C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58" name="Group 7">
          <a:extLst>
            <a:ext uri="{FF2B5EF4-FFF2-40B4-BE49-F238E27FC236}">
              <a16:creationId xmlns:a16="http://schemas.microsoft.com/office/drawing/2014/main" id="{52F57B66-A211-4050-AB1C-80A713333B01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59" name="WordArt 8">
            <a:extLst>
              <a:ext uri="{FF2B5EF4-FFF2-40B4-BE49-F238E27FC236}">
                <a16:creationId xmlns:a16="http://schemas.microsoft.com/office/drawing/2014/main" id="{D895C447-8B31-2724-B04A-45000F285DA0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60" name="WordArt 9">
            <a:extLst>
              <a:ext uri="{FF2B5EF4-FFF2-40B4-BE49-F238E27FC236}">
                <a16:creationId xmlns:a16="http://schemas.microsoft.com/office/drawing/2014/main" id="{EB0DEDAD-68BA-7C4D-23CD-4A823323119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61" name="Group 7">
          <a:extLst>
            <a:ext uri="{FF2B5EF4-FFF2-40B4-BE49-F238E27FC236}">
              <a16:creationId xmlns:a16="http://schemas.microsoft.com/office/drawing/2014/main" id="{51512E65-8851-43E1-A554-14857EDE1B0D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62" name="WordArt 8">
            <a:extLst>
              <a:ext uri="{FF2B5EF4-FFF2-40B4-BE49-F238E27FC236}">
                <a16:creationId xmlns:a16="http://schemas.microsoft.com/office/drawing/2014/main" id="{BA59F11A-2C29-F667-1D98-92540EC62AD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63" name="WordArt 9">
            <a:extLst>
              <a:ext uri="{FF2B5EF4-FFF2-40B4-BE49-F238E27FC236}">
                <a16:creationId xmlns:a16="http://schemas.microsoft.com/office/drawing/2014/main" id="{3D823232-271B-A197-33C2-3ED76284635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64" name="Group 7">
          <a:extLst>
            <a:ext uri="{FF2B5EF4-FFF2-40B4-BE49-F238E27FC236}">
              <a16:creationId xmlns:a16="http://schemas.microsoft.com/office/drawing/2014/main" id="{DE66F3B3-BD84-437F-9303-20D342A3F4C5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65" name="WordArt 8">
            <a:extLst>
              <a:ext uri="{FF2B5EF4-FFF2-40B4-BE49-F238E27FC236}">
                <a16:creationId xmlns:a16="http://schemas.microsoft.com/office/drawing/2014/main" id="{C7422A62-BA98-96C6-4657-0830A09EFA8E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66" name="WordArt 9">
            <a:extLst>
              <a:ext uri="{FF2B5EF4-FFF2-40B4-BE49-F238E27FC236}">
                <a16:creationId xmlns:a16="http://schemas.microsoft.com/office/drawing/2014/main" id="{E96632EE-5BB2-898F-6B19-12307C3C632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67" name="Group 7">
          <a:extLst>
            <a:ext uri="{FF2B5EF4-FFF2-40B4-BE49-F238E27FC236}">
              <a16:creationId xmlns:a16="http://schemas.microsoft.com/office/drawing/2014/main" id="{07235F2F-387E-4B94-8ED3-CA0456B45561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68" name="WordArt 8">
            <a:extLst>
              <a:ext uri="{FF2B5EF4-FFF2-40B4-BE49-F238E27FC236}">
                <a16:creationId xmlns:a16="http://schemas.microsoft.com/office/drawing/2014/main" id="{3EBAAFAE-516B-FC1D-F7D6-14B0FF49A5A8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69" name="WordArt 9">
            <a:extLst>
              <a:ext uri="{FF2B5EF4-FFF2-40B4-BE49-F238E27FC236}">
                <a16:creationId xmlns:a16="http://schemas.microsoft.com/office/drawing/2014/main" id="{40DD0069-676D-3937-8294-5FA9A467E33C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70" name="Group 7">
          <a:extLst>
            <a:ext uri="{FF2B5EF4-FFF2-40B4-BE49-F238E27FC236}">
              <a16:creationId xmlns:a16="http://schemas.microsoft.com/office/drawing/2014/main" id="{E802857D-8B0F-4478-81CF-5963027BB090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71" name="WordArt 8">
            <a:extLst>
              <a:ext uri="{FF2B5EF4-FFF2-40B4-BE49-F238E27FC236}">
                <a16:creationId xmlns:a16="http://schemas.microsoft.com/office/drawing/2014/main" id="{2899C7E7-B847-D01D-D8D1-DAF7FEC002A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72" name="WordArt 9">
            <a:extLst>
              <a:ext uri="{FF2B5EF4-FFF2-40B4-BE49-F238E27FC236}">
                <a16:creationId xmlns:a16="http://schemas.microsoft.com/office/drawing/2014/main" id="{F97808DD-DFEB-91FC-A6A3-90BDA85A1DC9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38100</xdr:rowOff>
    </xdr:from>
    <xdr:to>
      <xdr:col>14</xdr:col>
      <xdr:colOff>0</xdr:colOff>
      <xdr:row>29</xdr:row>
      <xdr:rowOff>0</xdr:rowOff>
    </xdr:to>
    <xdr:grpSp>
      <xdr:nvGrpSpPr>
        <xdr:cNvPr id="73" name="Group 7">
          <a:extLst>
            <a:ext uri="{FF2B5EF4-FFF2-40B4-BE49-F238E27FC236}">
              <a16:creationId xmlns:a16="http://schemas.microsoft.com/office/drawing/2014/main" id="{3C054C8A-89F0-40A7-8539-2C37633387D6}"/>
            </a:ext>
          </a:extLst>
        </xdr:cNvPr>
        <xdr:cNvGrpSpPr>
          <a:grpSpLocks/>
        </xdr:cNvGrpSpPr>
      </xdr:nvGrpSpPr>
      <xdr:grpSpPr bwMode="auto">
        <a:xfrm>
          <a:off x="24879300" y="5105400"/>
          <a:ext cx="1276350" cy="142875"/>
          <a:chOff x="1072" y="3905"/>
          <a:chExt cx="6800" cy="2937"/>
        </a:xfrm>
      </xdr:grpSpPr>
      <xdr:sp macro="" textlink="">
        <xdr:nvSpPr>
          <xdr:cNvPr id="74" name="WordArt 8">
            <a:extLst>
              <a:ext uri="{FF2B5EF4-FFF2-40B4-BE49-F238E27FC236}">
                <a16:creationId xmlns:a16="http://schemas.microsoft.com/office/drawing/2014/main" id="{0B31BD8C-EA05-53D2-AB7A-0460A4953764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1072" y="3905"/>
            <a:ext cx="6800" cy="2372"/>
          </a:xfrm>
          <a:prstGeom prst="rect">
            <a:avLst/>
          </a:prstGeom>
        </xdr:spPr>
        <xdr:txBody>
          <a:bodyPr wrap="none" fromWordArt="1">
            <a:prstTxWarp prst="textInflateTop">
              <a:avLst>
                <a:gd name="adj" fmla="val 31917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>
                <a:noFill/>
              </a:ln>
              <a:gradFill rotWithShape="1">
                <a:gsLst>
                  <a:gs pos="0">
                    <a:srgbClr val="FFFF00"/>
                  </a:gs>
                  <a:gs pos="50000">
                    <a:srgbClr val="000000"/>
                  </a:gs>
                  <a:gs pos="100000">
                    <a:srgbClr val="FFFF00"/>
                  </a:gs>
                </a:gsLst>
                <a:lin ang="5400000" scaled="1"/>
              </a:gradFill>
              <a:latin typeface="Bauhaus 93" panose="04030905020B02020C02" pitchFamily="82" charset="0"/>
            </a:endParaRPr>
          </a:p>
        </xdr:txBody>
      </xdr:sp>
      <xdr:sp macro="" textlink="">
        <xdr:nvSpPr>
          <xdr:cNvPr id="75" name="WordArt 9">
            <a:extLst>
              <a:ext uri="{FF2B5EF4-FFF2-40B4-BE49-F238E27FC236}">
                <a16:creationId xmlns:a16="http://schemas.microsoft.com/office/drawing/2014/main" id="{86FCB710-C308-B204-6C68-91DB1F78C5CF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>
            <a:off x="2073" y="6390"/>
            <a:ext cx="5232" cy="452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endParaRPr lang="pt-BR" sz="3600" u="sng" strike="sngStrike" kern="10" cap="small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00"/>
              </a:soli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13</xdr:col>
      <xdr:colOff>476250</xdr:colOff>
      <xdr:row>28</xdr:row>
      <xdr:rowOff>76200</xdr:rowOff>
    </xdr:from>
    <xdr:to>
      <xdr:col>13</xdr:col>
      <xdr:colOff>2390775</xdr:colOff>
      <xdr:row>29</xdr:row>
      <xdr:rowOff>0</xdr:rowOff>
    </xdr:to>
    <xdr:sp macro="" textlink="">
      <xdr:nvSpPr>
        <xdr:cNvPr id="76" name="WordArt 2">
          <a:extLst>
            <a:ext uri="{FF2B5EF4-FFF2-40B4-BE49-F238E27FC236}">
              <a16:creationId xmlns:a16="http://schemas.microsoft.com/office/drawing/2014/main" id="{67AA88D3-6BC0-43DE-9D5D-B031A5760B93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3590250" y="5232400"/>
          <a:ext cx="669925" cy="107950"/>
        </a:xfrm>
        <a:prstGeom prst="rect">
          <a:avLst/>
        </a:prstGeom>
      </xdr:spPr>
      <xdr:txBody>
        <a:bodyPr wrap="none" fromWordArt="1">
          <a:prstTxWarp prst="textInflateTop">
            <a:avLst>
              <a:gd name="adj" fmla="val 31917"/>
            </a:avLst>
          </a:prstTxWarp>
        </a:bodyPr>
        <a:lstStyle/>
        <a:p>
          <a:pPr algn="ctr" rtl="0">
            <a:buNone/>
          </a:pPr>
          <a:endParaRPr lang="pt-BR" sz="3600" u="sng" strike="sngStrike" kern="10" cap="small" spc="0">
            <a:ln>
              <a:noFill/>
            </a:ln>
            <a:gradFill rotWithShape="1">
              <a:gsLst>
                <a:gs pos="0">
                  <a:srgbClr val="FFFF00"/>
                </a:gs>
                <a:gs pos="50000">
                  <a:srgbClr val="000000"/>
                </a:gs>
                <a:gs pos="100000">
                  <a:srgbClr val="FFFF00"/>
                </a:gs>
              </a:gsLst>
              <a:lin ang="5400000" scaled="1"/>
            </a:gra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3</xdr:col>
      <xdr:colOff>476250</xdr:colOff>
      <xdr:row>28</xdr:row>
      <xdr:rowOff>76200</xdr:rowOff>
    </xdr:from>
    <xdr:to>
      <xdr:col>3</xdr:col>
      <xdr:colOff>2390775</xdr:colOff>
      <xdr:row>29</xdr:row>
      <xdr:rowOff>0</xdr:rowOff>
    </xdr:to>
    <xdr:sp macro="" textlink="">
      <xdr:nvSpPr>
        <xdr:cNvPr id="77" name="WordArt 2">
          <a:extLst>
            <a:ext uri="{FF2B5EF4-FFF2-40B4-BE49-F238E27FC236}">
              <a16:creationId xmlns:a16="http://schemas.microsoft.com/office/drawing/2014/main" id="{CD366525-13D4-419B-832D-20EA9C88582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756150" y="5232400"/>
          <a:ext cx="606425" cy="107950"/>
        </a:xfrm>
        <a:prstGeom prst="rect">
          <a:avLst/>
        </a:prstGeom>
      </xdr:spPr>
      <xdr:txBody>
        <a:bodyPr wrap="none" fromWordArt="1">
          <a:prstTxWarp prst="textInflateTop">
            <a:avLst>
              <a:gd name="adj" fmla="val 31917"/>
            </a:avLst>
          </a:prstTxWarp>
        </a:bodyPr>
        <a:lstStyle/>
        <a:p>
          <a:pPr algn="ctr" rtl="0">
            <a:buNone/>
          </a:pPr>
          <a:endParaRPr lang="pt-BR" sz="3600" u="sng" strike="sngStrike" kern="10" cap="small" spc="0">
            <a:ln>
              <a:noFill/>
            </a:ln>
            <a:gradFill rotWithShape="1">
              <a:gsLst>
                <a:gs pos="0">
                  <a:srgbClr val="FFFF00"/>
                </a:gs>
                <a:gs pos="50000">
                  <a:srgbClr val="000000"/>
                </a:gs>
                <a:gs pos="100000">
                  <a:srgbClr val="FFFF00"/>
                </a:gs>
              </a:gsLst>
              <a:lin ang="5400000" scaled="1"/>
            </a:gradFill>
            <a:latin typeface="Bauhaus 93" panose="04030905020B02020C02" pitchFamily="8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361983</xdr:colOff>
      <xdr:row>0</xdr:row>
      <xdr:rowOff>31750</xdr:rowOff>
    </xdr:from>
    <xdr:to>
      <xdr:col>1</xdr:col>
      <xdr:colOff>2235835</xdr:colOff>
      <xdr:row>0</xdr:row>
      <xdr:rowOff>572653</xdr:rowOff>
    </xdr:to>
    <xdr:pic>
      <xdr:nvPicPr>
        <xdr:cNvPr id="2" name="Imagem 1" descr="PepsiCo Logo – PNG e Vetor – Download de Logo">
          <a:extLst>
            <a:ext uri="{FF2B5EF4-FFF2-40B4-BE49-F238E27FC236}">
              <a16:creationId xmlns:a16="http://schemas.microsoft.com/office/drawing/2014/main" id="{12F7AA44-7B7E-4317-80DD-2A6ACB5A5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83" y="31750"/>
          <a:ext cx="2254852" cy="540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31750</xdr:rowOff>
    </xdr:from>
    <xdr:to>
      <xdr:col>2</xdr:col>
      <xdr:colOff>1365217</xdr:colOff>
      <xdr:row>0</xdr:row>
      <xdr:rowOff>572653</xdr:rowOff>
    </xdr:to>
    <xdr:pic>
      <xdr:nvPicPr>
        <xdr:cNvPr id="2" name="Imagem 1" descr="PepsiCo Logo – PNG e Vetor – Download de Logo">
          <a:extLst>
            <a:ext uri="{FF2B5EF4-FFF2-40B4-BE49-F238E27FC236}">
              <a16:creationId xmlns:a16="http://schemas.microsoft.com/office/drawing/2014/main" id="{25A8795F-2B4D-47E5-AD59-E4AA34424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83" y="31750"/>
          <a:ext cx="2279617" cy="540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361983</xdr:colOff>
      <xdr:row>0</xdr:row>
      <xdr:rowOff>31750</xdr:rowOff>
    </xdr:from>
    <xdr:to>
      <xdr:col>2</xdr:col>
      <xdr:colOff>1559957</xdr:colOff>
      <xdr:row>0</xdr:row>
      <xdr:rowOff>588211</xdr:rowOff>
    </xdr:to>
    <xdr:pic>
      <xdr:nvPicPr>
        <xdr:cNvPr id="2" name="Imagem 1" descr="PepsiCo Logo – PNG e Vetor – Download de Logo">
          <a:extLst>
            <a:ext uri="{FF2B5EF4-FFF2-40B4-BE49-F238E27FC236}">
              <a16:creationId xmlns:a16="http://schemas.microsoft.com/office/drawing/2014/main" id="{8F86C510-2300-4F4C-B994-CBC198A4D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83" y="31750"/>
          <a:ext cx="2360024" cy="556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361983</xdr:colOff>
      <xdr:row>0</xdr:row>
      <xdr:rowOff>31750</xdr:rowOff>
    </xdr:from>
    <xdr:to>
      <xdr:col>2</xdr:col>
      <xdr:colOff>1559957</xdr:colOff>
      <xdr:row>0</xdr:row>
      <xdr:rowOff>588211</xdr:rowOff>
    </xdr:to>
    <xdr:pic>
      <xdr:nvPicPr>
        <xdr:cNvPr id="2" name="Imagem 1" descr="PepsiCo Logo – PNG e Vetor – Download de Logo">
          <a:extLst>
            <a:ext uri="{FF2B5EF4-FFF2-40B4-BE49-F238E27FC236}">
              <a16:creationId xmlns:a16="http://schemas.microsoft.com/office/drawing/2014/main" id="{00E56DF9-F07D-4BFF-8D32-C656B3012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83" y="31750"/>
          <a:ext cx="2969624" cy="556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OPES, NADJANARA {PEP}" id="{9E771886-D6D5-41D5-A3BC-5AF249EAA32B}" userId="S::NADJANARA.LOPES@pepsico.com::eb6a3eb2-b358-402b-a6b5-558737313cc3" providerId="AD"/>
  <person displayName="SANTOS, PABLO - Contractor {PEP}" id="{7223D778-1A3B-4D3A-B2BA-408866A2C4DB}" userId="S::PABLO.SANTOS.Contractor@pepsico.com::7332176e-9e8c-4fc9-9e5f-dea4129a581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7.430058333332" createdVersion="8" refreshedVersion="8" minRefreshableVersion="3" recordCount="115" xr:uid="{1549966F-75D4-45A8-B63F-449BAA574842}">
  <cacheSource type="worksheet">
    <worksheetSource ref="A1:S116" sheet="RH"/>
  </cacheSource>
  <cacheFields count="19">
    <cacheField name="VICE PRESIDÊNCIA" numFmtId="14">
      <sharedItems/>
    </cacheField>
    <cacheField name="DIRETORIA" numFmtId="14">
      <sharedItems/>
    </cacheField>
    <cacheField name="GPID" numFmtId="0">
      <sharedItems containsSemiMixedTypes="0" containsString="0" containsNumber="1" containsInteger="1" minValue="40172548" maxValue="81252475"/>
    </cacheField>
    <cacheField name="NOME" numFmtId="0">
      <sharedItems/>
    </cacheField>
    <cacheField name="Observação" numFmtId="0">
      <sharedItems/>
    </cacheField>
    <cacheField name="CODIGOCARGO" numFmtId="0">
      <sharedItems containsSemiMixedTypes="0" containsString="0" containsNumber="1" containsInteger="1" minValue="435" maxValue="5504"/>
    </cacheField>
    <cacheField name="CARGO" numFmtId="0">
      <sharedItems count="25">
        <s v="OPERADOR MULTIFUNCIONAL"/>
        <s v="AUXILIAR DE PRODUCAO"/>
        <s v="OPERADOR MULTIFUNCIONAL ESPECIALIZADO"/>
        <s v="TECNICO DE QUALIDADE I"/>
        <s v="ANALISTA DE QUALIDADE JR"/>
        <s v="COORDENADOR DE QUALIDADE"/>
        <s v="SUPERVISOR DE QUALIDADE"/>
        <s v="OPERADOR UTILIDADES"/>
        <s v="ASSISTENTE LOGISTICA SR"/>
        <s v="GERENTE DE MANUFATURA"/>
        <s v="TECNICO SEGURANCA DO TRABALHO II"/>
        <s v="ALMOXARIFE"/>
        <s v="GERENTE DISTRIBUICAO"/>
        <s v="SUPERVISOR DE DISTRIBUICAO A"/>
        <s v="TECNICO ESPECIALISTA"/>
        <s v="TECNICO MECANICO II"/>
        <s v="TECNICO MECANICO III"/>
        <s v="COORDENADOR DE UTILIDADES"/>
        <s v="TECNICO ELETROMECANICO II"/>
        <s v="ENGENHEIRO PL"/>
        <s v="GERENTE MANUTENCAO"/>
        <s v="ANALISTA DE PCM PL"/>
        <s v="ANALISTA DE QUALIDADE PL"/>
        <s v="ANALISTA CONTROLADORIA PL"/>
        <s v="ANALISTA DE MELHORIA CONTINUA SR"/>
      </sharedItems>
    </cacheField>
    <cacheField name="Position Code" numFmtId="0">
      <sharedItems/>
    </cacheField>
    <cacheField name="CODLOCAL" numFmtId="0">
      <sharedItems containsSemiMixedTypes="0" containsString="0" containsNumber="1" containsInteger="1" minValue="20009" maxValue="20009"/>
    </cacheField>
    <cacheField name="DESCLOCAL" numFmtId="0">
      <sharedItems/>
    </cacheField>
    <cacheField name="CODCCUSTO" numFmtId="0">
      <sharedItems/>
    </cacheField>
    <cacheField name="DESCCCUSTO" numFmtId="0">
      <sharedItems count="17">
        <s v="PRODUCAO MAGICO BA"/>
        <s v="PRODUCAO TODDY BA"/>
        <s v="PREPARACAO ESTERELIZ"/>
        <s v="COMBI 24000"/>
        <s v="QUALIDADE CHOCOLATE"/>
        <s v="MANUTENCAO UTILIDADE"/>
        <s v="ALM INSUMOS BA"/>
        <s v="PRODUCAO MISTURA BA"/>
        <s v="GERENCIA PRODUCAO BA"/>
        <s v="SEG TRAB ENFERMAGEM"/>
        <s v="ALMOXARIFADO PECAS"/>
        <s v="EXP E ARMAZENS FOODS"/>
        <s v="GERENTE DE PLANTA BA"/>
        <s v="GERENCIA MANUTENCAO"/>
        <s v="QUALIDADECENTRAL CO"/>
        <s v="CONTR FABR ITU MOH"/>
        <s v="ATB &amp; LSS MANUF PROD"/>
      </sharedItems>
    </cacheField>
    <cacheField name="DATAADMISSAO" numFmtId="14">
      <sharedItems containsSemiMixedTypes="0" containsNonDate="0" containsDate="1" containsString="0" minDate="2011-05-02T00:00:00" maxDate="2026-01-13T00:00:00"/>
    </cacheField>
    <cacheField name="ANIVERSÁRIO" numFmtId="0">
      <sharedItems/>
    </cacheField>
    <cacheField name="Horário" numFmtId="0">
      <sharedItems/>
    </cacheField>
    <cacheField name="GPID - GESTOR IMEDIATO" numFmtId="0">
      <sharedItems containsSemiMixedTypes="0" containsString="0" containsNumber="1" containsInteger="1" minValue="20203635" maxValue="81224859"/>
    </cacheField>
    <cacheField name="GESTOR IMEDIATO" numFmtId="0">
      <sharedItems/>
    </cacheField>
    <cacheField name="EMAIL CORPORATIVO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7.439203935188" createdVersion="8" refreshedVersion="8" minRefreshableVersion="3" recordCount="123" xr:uid="{F3F61E23-A80C-4CD5-AC6F-CFD9A7A5674F}">
  <cacheSource type="worksheet">
    <worksheetSource name="Tabela1"/>
  </cacheSource>
  <cacheFields count="20">
    <cacheField name="Ativo?" numFmtId="0">
      <sharedItems/>
    </cacheField>
    <cacheField name="EMPRESA/SETOR" numFmtId="0">
      <sharedItems/>
    </cacheField>
    <cacheField name="GPID" numFmtId="0">
      <sharedItems containsMixedTypes="1" containsNumber="1" containsInteger="1" minValue="40172548" maxValue="81251042" count="98">
        <n v="40192586"/>
        <n v="40285860"/>
        <n v="80997371"/>
        <n v="40205767"/>
        <n v="80315521"/>
        <n v="80069277"/>
        <s v="Terceiro"/>
        <n v="80038367"/>
        <n v="40172746"/>
        <n v="81009737"/>
        <n v="80069273"/>
        <n v="81226437"/>
        <n v="80888568"/>
        <n v="80997603"/>
        <n v="40216111"/>
        <n v="81069369"/>
        <n v="80916371"/>
        <n v="80159517"/>
        <n v="81145746"/>
        <n v="80258585"/>
        <n v="80888181"/>
        <n v="81218214"/>
        <n v="40185173"/>
        <n v="40175823"/>
        <n v="80851941"/>
        <n v="40285831"/>
        <n v="80997938"/>
        <n v="40277251"/>
        <n v="40297022"/>
        <n v="80185857"/>
        <n v="80143927"/>
        <n v="80013790"/>
        <n v="81003485"/>
        <n v="81033775"/>
        <n v="80852123"/>
        <n v="81170000"/>
        <n v="81232514"/>
        <n v="81193221"/>
        <n v="80900231"/>
        <n v="40192597"/>
        <n v="40221612"/>
        <n v="81050387"/>
        <n v="80872720"/>
        <n v="40192681"/>
        <n v="80007458"/>
        <n v="40296986"/>
        <n v="81251042"/>
        <n v="80981334"/>
        <n v="80157142"/>
        <n v="80014736"/>
        <n v="81033488"/>
        <n v="80304771"/>
        <n v="81004104"/>
        <n v="81150129"/>
        <n v="80931429"/>
        <n v="80187110"/>
        <n v="81223120"/>
        <n v="40182248"/>
        <n v="81051051"/>
        <n v="40201957"/>
        <n v="80851526"/>
        <n v="40182881"/>
        <n v="80873151"/>
        <n v="81054406"/>
        <n v="81033486"/>
        <n v="80851934"/>
        <n v="40201681"/>
        <n v="81041744"/>
        <n v="81168348"/>
        <n v="81150509"/>
        <n v="81050388"/>
        <n v="40286011"/>
        <n v="80310115"/>
        <n v="40185829"/>
        <n v="40280015"/>
        <n v="80851528"/>
        <n v="40302139"/>
        <n v="81081518"/>
        <n v="40175810"/>
        <n v="80979600"/>
        <n v="81174247"/>
        <n v="80977012"/>
        <n v="80015716"/>
        <n v="80189683"/>
        <n v="81181365"/>
        <n v="80157138"/>
        <n v="80007689"/>
        <n v="80084668"/>
        <n v="80300509"/>
        <n v="80997268"/>
        <n v="80007224"/>
        <n v="40213379"/>
        <n v="81200617"/>
        <n v="81217372"/>
        <n v="81130135"/>
        <n v="81136143"/>
        <n v="40172548"/>
        <n v="81238713"/>
      </sharedItems>
    </cacheField>
    <cacheField name="ROTA" numFmtId="0">
      <sharedItems containsBlank="1"/>
    </cacheField>
    <cacheField name="TURNO" numFmtId="0">
      <sharedItems/>
    </cacheField>
    <cacheField name="CARRO" numFmtId="0">
      <sharedItems containsBlank="1"/>
    </cacheField>
    <cacheField name="NOME ABREVIADO" numFmtId="0">
      <sharedItems/>
    </cacheField>
    <cacheField name="NOME COMPLETO" numFmtId="0">
      <sharedItems containsBlank="1"/>
    </cacheField>
    <cacheField name="EMPRESA" numFmtId="0">
      <sharedItems count="4">
        <s v="PEPSICO"/>
        <s v="LIMGER"/>
        <s v="CWBEM"/>
        <s v="MANPOWER"/>
      </sharedItems>
    </cacheField>
    <cacheField name="CC" numFmtId="0">
      <sharedItems/>
    </cacheField>
    <cacheField name="DATA ADMISSAO" numFmtId="0">
      <sharedItems containsDate="1" containsString="0" containsBlank="1" containsMixedTypes="1" minDate="2011-05-02T00:00:00" maxDate="2025-06-10T00:00:00"/>
    </cacheField>
    <cacheField name="ENDEREÇO COMPLETO" numFmtId="0">
      <sharedItems/>
    </cacheField>
    <cacheField name="RUA" numFmtId="0">
      <sharedItems/>
    </cacheField>
    <cacheField name="Nº" numFmtId="0">
      <sharedItems containsMixedTypes="1" containsNumber="1" containsInteger="1" minValue="1" maxValue="8147"/>
    </cacheField>
    <cacheField name="BAIRRO" numFmtId="0">
      <sharedItems containsBlank="1"/>
    </cacheField>
    <cacheField name="CIDADE" numFmtId="0">
      <sharedItems/>
    </cacheField>
    <cacheField name="PONTO DE EMBARQUE" numFmtId="0">
      <sharedItems containsBlank="1"/>
    </cacheField>
    <cacheField name="REFERÊNCIA" numFmtId="0">
      <sharedItems containsBlank="1"/>
    </cacheField>
    <cacheField name="TELEFONE" numFmtId="0">
      <sharedItems containsNonDate="0" containsString="0" containsBlank="1"/>
    </cacheField>
    <cacheField name="DATA ALTERACAO ENDEREC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s v="Total Operacoes"/>
    <s v="Manufatura Nutrition"/>
    <n v="40277251"/>
    <s v="ELIOMAR CARVALHO DA PAIXAO"/>
    <s v="Fábrica Feira de Santana"/>
    <n v="5031"/>
    <x v="0"/>
    <s v="P50540268"/>
    <n v="20009"/>
    <s v="FÁBRICA FEIRA DE SANTANA"/>
    <s v="BR1A010"/>
    <x v="0"/>
    <d v="2014-06-02T00:00:00"/>
    <s v="13/7"/>
    <s v="06:00 10:00 11:10 14:30"/>
    <n v="40172715"/>
    <s v="ALINE SOARES ANDRADE GAVAZZA"/>
    <s v="eliomar.paixao@pepsico.com"/>
    <s v="A"/>
  </r>
  <r>
    <s v="Total Operacoes"/>
    <s v="Manufatura Nutrition"/>
    <n v="40213379"/>
    <s v="VALLENO LIMA SENA"/>
    <s v="Fábrica Feira de Santana"/>
    <n v="5031"/>
    <x v="0"/>
    <s v="P00190666"/>
    <n v="20009"/>
    <s v="FÁBRICA FEIRA DE SANTANA"/>
    <s v="BR1A010"/>
    <x v="0"/>
    <d v="2013-04-08T00:00:00"/>
    <s v="12/8"/>
    <s v="06:00 10:00 11:10 14:30"/>
    <n v="40172715"/>
    <s v="ALINE SOARES ANDRADE GAVAZZA"/>
    <s v="VALLENO.SENA@pepsico.com"/>
    <s v="A"/>
  </r>
  <r>
    <s v="Total Operacoes"/>
    <s v="Manufatura Nutrition"/>
    <n v="40285831"/>
    <s v="ELIAS MOREIRA DA FONSECA"/>
    <s v="Fábrica Feira de Santana"/>
    <n v="5031"/>
    <x v="0"/>
    <s v="P00190669"/>
    <n v="20009"/>
    <s v="FÁBRICA FEIRA DE SANTANA"/>
    <s v="BR1A010"/>
    <x v="0"/>
    <d v="2014-10-13T00:00:00"/>
    <s v="17/6"/>
    <s v="06:00 10:00 11:10 14:30"/>
    <n v="40172715"/>
    <s v="ALINE SOARES ANDRADE GAVAZZA"/>
    <s v="ELIAS.DAFONSECA@pepsico.com"/>
    <s v="A"/>
  </r>
  <r>
    <s v="Total Operacoes"/>
    <s v="Manufatura Nutrition"/>
    <n v="80310115"/>
    <s v="MIRIAN RANGEL SILVA SANTANA"/>
    <s v="Fábrica Feira de Santana"/>
    <n v="5179"/>
    <x v="1"/>
    <s v="P00073945"/>
    <n v="20009"/>
    <s v="FÁBRICA FEIRA DE SANTANA"/>
    <s v="BR1A010"/>
    <x v="0"/>
    <d v="2021-01-18T00:00:00"/>
    <s v="30/6"/>
    <s v="06:00 10:00 11:10 14:30"/>
    <n v="40172715"/>
    <s v="ALINE SOARES ANDRADE GAVAZZA"/>
    <s v="MIRIAN.SANTANA@pepsico.com"/>
    <s v="A"/>
  </r>
  <r>
    <s v="Total Operacoes"/>
    <s v="Manufatura Nutrition"/>
    <n v="80851941"/>
    <s v="ELIANA DE ALMEIDA OLIVEIRA"/>
    <s v="Fábrica Feira de Santana"/>
    <n v="5179"/>
    <x v="1"/>
    <s v="P00073627"/>
    <n v="20009"/>
    <s v="FÁBRICA FEIRA DE SANTANA"/>
    <s v="BR1A010"/>
    <x v="0"/>
    <d v="2021-07-05T00:00:00"/>
    <s v="3/4"/>
    <s v="06:00 10:00 11:10 14:30"/>
    <n v="40172715"/>
    <s v="ALINE SOARES ANDRADE GAVAZZA"/>
    <s v="ELIANA.OLIVEIRA@pepsico.com"/>
    <s v="A"/>
  </r>
  <r>
    <s v="Total Operacoes"/>
    <s v="Manufatura Nutrition"/>
    <n v="80873151"/>
    <s v="LUIZ EDUARDO DE OLIVEIRA SANTOS"/>
    <s v="Fábrica Feira de Santana"/>
    <n v="5031"/>
    <x v="0"/>
    <s v="P00190670"/>
    <n v="20009"/>
    <s v="FÁBRICA FEIRA DE SANTANA"/>
    <s v="BR1A010"/>
    <x v="0"/>
    <d v="2021-09-20T00:00:00"/>
    <s v="24/1"/>
    <s v="06:00 10:00 11:10 14:30"/>
    <n v="40172715"/>
    <s v="ALINE SOARES ANDRADE GAVAZZA"/>
    <s v="LUIZEDUARDO.SANTOS@pepsico.com"/>
    <s v="A"/>
  </r>
  <r>
    <s v="Total Operacoes"/>
    <s v="Manufatura Nutrition"/>
    <n v="80997603"/>
    <s v="CLEIDIANE DE OLIVEIRA LIMA"/>
    <s v="Fábrica Feira de Santana"/>
    <n v="5179"/>
    <x v="1"/>
    <s v="P00190680"/>
    <n v="20009"/>
    <s v="FÁBRICA FEIRA DE SANTANA"/>
    <s v="BR1A010"/>
    <x v="0"/>
    <d v="2022-11-07T00:00:00"/>
    <s v="27/3"/>
    <s v="06:00 10:00 11:10 14:30"/>
    <n v="40172715"/>
    <s v="ALINE SOARES ANDRADE GAVAZZA"/>
    <s v="CLEIDIANE.LIMA@pepsico.com"/>
    <s v="A"/>
  </r>
  <r>
    <s v="Total Operacoes"/>
    <s v="Manufatura Nutrition"/>
    <n v="81168348"/>
    <s v="MARIANA SILVA DOS ANJOS"/>
    <s v="Fábrica Feira de Santana"/>
    <n v="5179"/>
    <x v="1"/>
    <s v="P50838653"/>
    <n v="20009"/>
    <s v="FÁBRICA FEIRA DE SANTANA"/>
    <s v="BR1A010"/>
    <x v="0"/>
    <d v="2024-08-05T00:00:00"/>
    <s v="3/3"/>
    <s v="06:00 10:00 11:10 14:30"/>
    <n v="40172715"/>
    <s v="ALINE SOARES ANDRADE GAVAZZA"/>
    <s v="MARIANA.DOSANJOS@pepsico.com"/>
    <s v="A"/>
  </r>
  <r>
    <s v="Total Operacoes"/>
    <s v="Manufatura Nutrition"/>
    <n v="81252475"/>
    <s v="TIAGO SANTOS VENAS"/>
    <s v="Fábrica Feira de Santana"/>
    <n v="5179"/>
    <x v="1"/>
    <s v="P00073640"/>
    <n v="20009"/>
    <s v="FÁBRICA FEIRA DE SANTANA"/>
    <s v="BR1A010"/>
    <x v="0"/>
    <d v="2026-01-12T00:00:00"/>
    <s v="10/6"/>
    <s v="14:20 18:00 19:10 22:45"/>
    <n v="40172715"/>
    <s v="ALINE SOARES ANDRADE GAVAZZA"/>
    <s v="tiagovenas964@gmail.com"/>
    <s v="A"/>
  </r>
  <r>
    <s v="Total Operacoes"/>
    <s v="Manufatura Nutrition"/>
    <n v="40285860"/>
    <s v="ADEMILDES DA CONCEICAO"/>
    <s v="Fábrica Feira de Santana"/>
    <n v="5031"/>
    <x v="0"/>
    <s v="P00190665"/>
    <n v="20009"/>
    <s v="FÁBRICA FEIRA DE SANTANA"/>
    <s v="BR1A009"/>
    <x v="1"/>
    <d v="2014-10-13T00:00:00"/>
    <s v="1/8"/>
    <s v="06:00 10:00 11:00 14:20"/>
    <n v="40172715"/>
    <s v="ALINE SOARES ANDRADE GAVAZZA"/>
    <s v="Ademildes.DaConceicao1@pepsico.com"/>
    <s v="A"/>
  </r>
  <r>
    <s v="Total Operacoes"/>
    <s v="Manufatura Nutrition"/>
    <n v="80084668"/>
    <s v="SILVIO FERNANDO DE CARVALHO VASCONCELOS"/>
    <s v="Fábrica Feira de Santana"/>
    <n v="5179"/>
    <x v="1"/>
    <s v="P00107081"/>
    <n v="20009"/>
    <s v="FÁBRICA FEIRA DE SANTANA"/>
    <s v="BR1A009"/>
    <x v="1"/>
    <d v="2017-10-16T00:00:00"/>
    <s v="11/2"/>
    <s v="06:00 10:00 11:10 14:30"/>
    <n v="40172715"/>
    <s v="ALINE SOARES ANDRADE GAVAZZA"/>
    <s v="SILVIOFERNANDO.VASCONCELOS@pepsico.com"/>
    <s v="A"/>
  </r>
  <r>
    <s v="Total Operacoes"/>
    <s v="Manufatura Nutrition"/>
    <n v="80851934"/>
    <s v="MARCOS WELINGTON VIANA MENEZES"/>
    <s v="Fábrica Feira de Santana"/>
    <n v="5031"/>
    <x v="0"/>
    <s v="P00190668"/>
    <n v="20009"/>
    <s v="FÁBRICA FEIRA DE SANTANA"/>
    <s v="BR1A009"/>
    <x v="1"/>
    <d v="2021-07-05T00:00:00"/>
    <s v="25/1"/>
    <s v="06:00 10:00 11:10 14:30"/>
    <n v="40172715"/>
    <s v="ALINE SOARES ANDRADE GAVAZZA"/>
    <s v="MARCOS.MENEZES@pepsico.com"/>
    <s v="A"/>
  </r>
  <r>
    <s v="Total Operacoes"/>
    <s v="Manufatura Nutrition"/>
    <n v="80979600"/>
    <s v="REIJANE ARAUJO DA SILVA"/>
    <s v="Fábrica Feira de Santana"/>
    <n v="5179"/>
    <x v="1"/>
    <s v="P50586219"/>
    <n v="20009"/>
    <s v="FÁBRICA FEIRA DE SANTANA"/>
    <s v="BR1A009"/>
    <x v="1"/>
    <d v="2022-09-12T00:00:00"/>
    <s v="6/1"/>
    <s v="06:00 10:00 11:10 14:30"/>
    <n v="40172715"/>
    <s v="ALINE SOARES ANDRADE GAVAZZA"/>
    <s v="REIJANE.DASILVA@pepsico.com"/>
    <s v="A"/>
  </r>
  <r>
    <s v="Total Operacoes"/>
    <s v="Manufatura Nutrition"/>
    <n v="80997938"/>
    <s v="ELICELIA CAMPOS SANTOS"/>
    <s v="Fábrica Feira de Santana"/>
    <n v="5179"/>
    <x v="1"/>
    <s v="P00190681"/>
    <n v="20009"/>
    <s v="FÁBRICA FEIRA DE SANTANA"/>
    <s v="BR1A009"/>
    <x v="1"/>
    <d v="2022-11-07T00:00:00"/>
    <s v="27/7"/>
    <s v="06:00 10:00 11:10 14:30"/>
    <n v="40172715"/>
    <s v="ALINE SOARES ANDRADE GAVAZZA"/>
    <s v="ELICELIA.SANTOS@pepsico.com"/>
    <s v="A"/>
  </r>
  <r>
    <s v="Total Operacoes"/>
    <s v="Manufatura Nutrition"/>
    <n v="81004104"/>
    <s v="LAILSON DO CARMO DE SAO JOSE"/>
    <s v="Fábrica Feira de Santana"/>
    <n v="5031"/>
    <x v="0"/>
    <s v="P50625381"/>
    <n v="20009"/>
    <s v="FÁBRICA FEIRA DE SANTANA"/>
    <s v="BR1A009"/>
    <x v="1"/>
    <d v="2022-12-05T00:00:00"/>
    <s v="18/2"/>
    <s v="06:00 10:00 11:10 14:30"/>
    <n v="40172715"/>
    <s v="ALINE SOARES ANDRADE GAVAZZA"/>
    <s v="LAILSON.JOSE@pepsico.com"/>
    <s v="A"/>
  </r>
  <r>
    <s v="Total Operacoes"/>
    <s v="Manufatura Nutrition"/>
    <n v="81174247"/>
    <s v="RENATA BARBOSA DOS SANTOS LEMOS"/>
    <s v="Fábrica Feira de Santana"/>
    <n v="5179"/>
    <x v="1"/>
    <s v="P00094739"/>
    <n v="20009"/>
    <s v="FÁBRICA FEIRA DE SANTANA"/>
    <s v="BR1A009"/>
    <x v="1"/>
    <d v="2024-09-02T00:00:00"/>
    <s v="31/3"/>
    <s v="06:00 10:00 11:10 14:30"/>
    <n v="40172715"/>
    <s v="ALINE SOARES ANDRADE GAVAZZA"/>
    <s v="RENATA.LEMOS@pepsico.com"/>
    <s v="A"/>
  </r>
  <r>
    <s v="Total Operacoes"/>
    <s v="Manufatura Nutrition"/>
    <n v="80014736"/>
    <s v="JOSEMIR BORGES DE CARVALHO"/>
    <s v="Fábrica Feira de Santana"/>
    <n v="5179"/>
    <x v="1"/>
    <s v="P00094741"/>
    <n v="20009"/>
    <s v="FÁBRICA FEIRA DE SANTANA"/>
    <s v="BR1A294"/>
    <x v="2"/>
    <d v="2016-04-04T00:00:00"/>
    <s v="1/6"/>
    <s v="06:00 10:00 11:10 14:30"/>
    <n v="40172715"/>
    <s v="ALINE SOARES ANDRADE GAVAZZA"/>
    <s v="josemir.borgesdecarvalho@pepsico.com"/>
    <s v="A"/>
  </r>
  <r>
    <s v="Total Operacoes"/>
    <s v="Manufatura Nutrition"/>
    <n v="40192586"/>
    <s v="ACACIO LUIZ LIMA CORREIA"/>
    <s v="Fábrica Feira de Santana"/>
    <n v="5031"/>
    <x v="0"/>
    <s v="P00074807"/>
    <n v="20009"/>
    <s v="FÁBRICA FEIRA DE SANTANA"/>
    <s v="BR1A294"/>
    <x v="2"/>
    <d v="2012-07-12T00:00:00"/>
    <s v="7/5"/>
    <s v="06:00 10:00 11:10 14:30"/>
    <n v="40172715"/>
    <s v="ALINE SOARES ANDRADE GAVAZZA"/>
    <s v="acacio.correia@pepsico.com"/>
    <s v="A"/>
  </r>
  <r>
    <s v="Total Operacoes"/>
    <s v="Manufatura Nutrition"/>
    <n v="40185033"/>
    <s v="ADILSON NUNES DE OLIVEIRA"/>
    <s v="Fábrica Feira de Santana"/>
    <n v="5179"/>
    <x v="1"/>
    <s v="P50395394"/>
    <n v="20009"/>
    <s v="FÁBRICA FEIRA DE SANTANA"/>
    <s v="BR1A294"/>
    <x v="2"/>
    <d v="2012-01-16T00:00:00"/>
    <s v="22/12"/>
    <s v="14:20 18:00 19:10 22:45"/>
    <n v="40172715"/>
    <s v="ALINE SOARES ANDRADE GAVAZZA"/>
    <s v="adilsonnunes.deoliveira@pepsico.com"/>
    <s v="LOA até 6M"/>
  </r>
  <r>
    <s v="Total Operacoes"/>
    <s v="Manufatura Nutrition"/>
    <n v="80015716"/>
    <s v="ROBSON SANTOS COSTA"/>
    <s v="Fábrica Feira de Santana"/>
    <n v="5031"/>
    <x v="0"/>
    <s v="P00190677"/>
    <n v="20009"/>
    <s v="FÁBRICA FEIRA DE SANTANA"/>
    <s v="BR1A294"/>
    <x v="2"/>
    <d v="2016-04-11T00:00:00"/>
    <s v="2/5"/>
    <s v="06:00 10:00 11:10 14:30"/>
    <n v="40172715"/>
    <s v="ALINE SOARES ANDRADE GAVAZZA"/>
    <s v="robson.santoscosta@pepsico.com"/>
    <s v="A"/>
  </r>
  <r>
    <s v="Total Operacoes"/>
    <s v="Manufatura Nutrition"/>
    <n v="40216122"/>
    <s v="EDMILSON DOS SANTOS CERQUEIRA"/>
    <s v="Fábrica Feira de Santana"/>
    <n v="5179"/>
    <x v="1"/>
    <s v="P00094750"/>
    <n v="20009"/>
    <s v="FÁBRICA FEIRA DE SANTANA"/>
    <s v="BR1A294"/>
    <x v="2"/>
    <d v="2013-06-10T00:00:00"/>
    <s v="14/6"/>
    <s v="14:20 18:00 19:10 22:45"/>
    <n v="40172715"/>
    <s v="ALINE SOARES ANDRADE GAVAZZA"/>
    <s v="edimilson.cerqueira@pepsico.com"/>
    <s v="LOA até 6M"/>
  </r>
  <r>
    <s v="Total Operacoes"/>
    <s v="Manufatura Nutrition"/>
    <n v="80069277"/>
    <s v="ALEXANDRE SOUZA DE JESUS"/>
    <s v="Fábrica Feira de Santana"/>
    <n v="5179"/>
    <x v="1"/>
    <s v="P50026629"/>
    <n v="20009"/>
    <s v="FÁBRICA FEIRA DE SANTANA"/>
    <s v="BR1A294"/>
    <x v="2"/>
    <d v="2017-07-17T00:00:00"/>
    <s v="27/8"/>
    <s v="06:00 10:00 11:10 14:30"/>
    <n v="40172715"/>
    <s v="ALINE SOARES ANDRADE GAVAZZA"/>
    <s v="ALEXANDRE.JESUS@pepsico.com"/>
    <s v="A"/>
  </r>
  <r>
    <s v="Total Operacoes"/>
    <s v="Manufatura Nutrition"/>
    <n v="40175823"/>
    <s v="ELAINE BATISTA GONCALVES LIMA"/>
    <s v="Fábrica Feira de Santana"/>
    <n v="5031"/>
    <x v="0"/>
    <s v="P00073209"/>
    <n v="20009"/>
    <s v="FÁBRICA FEIRA DE SANTANA"/>
    <s v="BR1A294"/>
    <x v="2"/>
    <d v="2011-08-01T00:00:00"/>
    <s v="26/8"/>
    <s v="14:20 18:00 19:10 22:45"/>
    <n v="40172715"/>
    <s v="ALINE SOARES ANDRADE GAVAZZA"/>
    <s v="ELAINEBATISTA.GONCALVESLIMA@pepsico.com"/>
    <s v="A"/>
  </r>
  <r>
    <s v="Total Operacoes"/>
    <s v="Manufatura Nutrition"/>
    <n v="80315521"/>
    <s v="ALCIDES BARBOSA DE SOUSA JUNIOR"/>
    <s v="Fábrica Feira de Santana"/>
    <n v="5414"/>
    <x v="2"/>
    <s v="P50361927"/>
    <n v="20009"/>
    <s v="FÁBRICA FEIRA DE SANTANA"/>
    <s v="BR1A294"/>
    <x v="2"/>
    <d v="2021-02-15T00:00:00"/>
    <s v="8/10"/>
    <s v="07:30 12:00 13:00 17:18"/>
    <n v="40172715"/>
    <s v="ALINE SOARES ANDRADE GAVAZZA"/>
    <s v="ALCIDES.JUNIOR@pepsico.com"/>
    <s v="A"/>
  </r>
  <r>
    <s v="Total Operacoes"/>
    <s v="Manufatura Nutrition"/>
    <n v="80851528"/>
    <s v="PAULO ROBERTO PALMEIRA DA SILVA"/>
    <s v="Fábrica Feira de Santana"/>
    <n v="5179"/>
    <x v="1"/>
    <s v="P00075070"/>
    <n v="20009"/>
    <s v="FÁBRICA FEIRA DE SANTANA"/>
    <s v="BR1A294"/>
    <x v="2"/>
    <d v="2021-07-05T00:00:00"/>
    <s v="4/3"/>
    <s v="14:20 18:00 19:10 22:45"/>
    <n v="40172715"/>
    <s v="ALINE SOARES ANDRADE GAVAZZA"/>
    <s v="PAULO.SILVA1@pepsico.com"/>
    <s v="A"/>
  </r>
  <r>
    <s v="Total Operacoes"/>
    <s v="Manufatura Nutrition"/>
    <n v="80888181"/>
    <s v="EDMILSON LOPES DE OLIVEIRA"/>
    <s v="Fábrica Feira de Santana"/>
    <n v="5179"/>
    <x v="1"/>
    <s v="P00094745"/>
    <n v="20009"/>
    <s v="FÁBRICA FEIRA DE SANTANA"/>
    <s v="BR1A294"/>
    <x v="2"/>
    <d v="2021-11-16T00:00:00"/>
    <s v="11/4"/>
    <s v="14:20 18:00 19:10 22:45"/>
    <n v="40172715"/>
    <s v="ALINE SOARES ANDRADE GAVAZZA"/>
    <s v="EDMILSON.OLIVEIRA1@pepsico.com"/>
    <s v="A"/>
  </r>
  <r>
    <s v="Total Operacoes"/>
    <s v="Manufatura Nutrition"/>
    <n v="80981334"/>
    <s v="JOSE PHILIPE DE JESUS PINTO"/>
    <s v="Fábrica Feira de Santana"/>
    <n v="5179"/>
    <x v="1"/>
    <s v="P00107083"/>
    <n v="20009"/>
    <s v="FÁBRICA FEIRA DE SANTANA"/>
    <s v="BR1A294"/>
    <x v="2"/>
    <d v="2022-09-19T00:00:00"/>
    <s v="7/6"/>
    <s v="06:00 10:00 11:10 14:30"/>
    <n v="40172715"/>
    <s v="ALINE SOARES ANDRADE GAVAZZA"/>
    <s v="JOSE.PINTO@pepsico.com"/>
    <s v="A"/>
  </r>
  <r>
    <s v="Total Operacoes"/>
    <s v="Manufatura Nutrition"/>
    <n v="81033486"/>
    <s v="MARCIO REIS DE OLIVEIRA JUNIOR"/>
    <s v="Fábrica Feira de Santana"/>
    <n v="5031"/>
    <x v="0"/>
    <s v="P00073929"/>
    <n v="20009"/>
    <s v="FÁBRICA FEIRA DE SANTANA"/>
    <s v="BR1A294"/>
    <x v="2"/>
    <d v="2023-04-03T00:00:00"/>
    <s v="14/8"/>
    <s v="22:35 01:00 02:10 06:10"/>
    <n v="40172715"/>
    <s v="ALINE SOARES ANDRADE GAVAZZA"/>
    <s v="MARCIO.JUNIOR@pepsico.com"/>
    <s v="A"/>
  </r>
  <r>
    <s v="Total Operacoes"/>
    <s v="Manufatura Nutrition"/>
    <n v="81050388"/>
    <s v="MAXSUEL COSTA DE SANT ANA"/>
    <s v="Fábrica Feira de Santana"/>
    <n v="5179"/>
    <x v="1"/>
    <s v="P00073893"/>
    <n v="20009"/>
    <s v="FÁBRICA FEIRA DE SANTANA"/>
    <s v="BR1A294"/>
    <x v="2"/>
    <d v="2023-06-05T00:00:00"/>
    <s v="7/7"/>
    <s v="14:20 18:00 19:10 22:45"/>
    <n v="40172715"/>
    <s v="ALINE SOARES ANDRADE GAVAZZA"/>
    <s v="MAXSUEL.DESANTANA@pepsico.com"/>
    <s v="A"/>
  </r>
  <r>
    <s v="Total Operacoes"/>
    <s v="Manufatura Nutrition"/>
    <n v="81051051"/>
    <s v="LUAN BENICIO BANDEIRA PINTO"/>
    <s v="Fábrica Feira de Santana"/>
    <n v="5031"/>
    <x v="0"/>
    <s v="P00074507"/>
    <n v="20009"/>
    <s v="FÁBRICA FEIRA DE SANTANA"/>
    <s v="BR1A294"/>
    <x v="2"/>
    <d v="2023-06-05T00:00:00"/>
    <s v="9/11"/>
    <s v="06:00 10:00 11:10 14:30"/>
    <n v="40172715"/>
    <s v="ALINE SOARES ANDRADE GAVAZZA"/>
    <s v="LUANBENICIO.PINTO@pepsico.com"/>
    <s v="A"/>
  </r>
  <r>
    <s v="Total Operacoes"/>
    <s v="Manufatura Nutrition"/>
    <n v="81069369"/>
    <s v="DACIO DA CONCEICAO MACHADO"/>
    <s v="Fábrica Feira de Santana"/>
    <n v="5179"/>
    <x v="1"/>
    <s v="P50644229"/>
    <n v="20009"/>
    <s v="FÁBRICA FEIRA DE SANTANA"/>
    <s v="BR1A294"/>
    <x v="2"/>
    <d v="2023-08-14T00:00:00"/>
    <s v="17/6"/>
    <s v="22:35 01:00 02:10 06:10"/>
    <n v="40172715"/>
    <s v="ALINE SOARES ANDRADE GAVAZZA"/>
    <s v="DACIO.MACHADO@pepsico.com"/>
    <s v="A"/>
  </r>
  <r>
    <s v="Total Operacoes"/>
    <s v="Manufatura Nutrition"/>
    <n v="81081518"/>
    <s v="RAIMUNDO DE OLIVEIRA DUARTE"/>
    <s v="Fábrica Feira de Santana"/>
    <n v="5179"/>
    <x v="1"/>
    <s v="P00074510"/>
    <n v="20009"/>
    <s v="FÁBRICA FEIRA DE SANTANA"/>
    <s v="BR1A294"/>
    <x v="2"/>
    <d v="2023-10-02T00:00:00"/>
    <s v="29/6"/>
    <s v="14:20 18:00 19:10 22:45"/>
    <n v="40172715"/>
    <s v="ALINE SOARES ANDRADE GAVAZZA"/>
    <s v="RAIMUNDO.DEOLIVEIRADUARTE@pepsico.com"/>
    <s v="A"/>
  </r>
  <r>
    <s v="Total Operacoes"/>
    <s v="Manufatura Nutrition"/>
    <n v="40216111"/>
    <s v="CRISTIANE SANTOS DE OLIVEIRA ARAUJO"/>
    <s v="Fábrica Feira de Santana"/>
    <n v="5179"/>
    <x v="1"/>
    <s v="P00076666"/>
    <n v="20009"/>
    <s v="FÁBRICA FEIRA DE SANTANA"/>
    <s v="BR1A312"/>
    <x v="3"/>
    <d v="2013-06-10T00:00:00"/>
    <s v="5/3"/>
    <s v="06:00 10:00 11:10 14:30"/>
    <n v="40172715"/>
    <s v="ALINE SOARES ANDRADE GAVAZZA"/>
    <s v="CRISTIANE.ARAUJO1@pepsico.com"/>
    <s v="A"/>
  </r>
  <r>
    <s v="Total Operacoes"/>
    <s v="Manufatura Nutrition"/>
    <n v="80069273"/>
    <s v="ATAIDE DE MATOS SANTANA"/>
    <s v="Fábrica Feira de Santana"/>
    <n v="5179"/>
    <x v="1"/>
    <s v="P50026637"/>
    <n v="20009"/>
    <s v="FÁBRICA FEIRA DE SANTANA"/>
    <s v="BR1A312"/>
    <x v="3"/>
    <d v="2017-07-17T00:00:00"/>
    <s v="29/3"/>
    <s v="14:20 18:00 19:10 22:45"/>
    <n v="40172715"/>
    <s v="ALINE SOARES ANDRADE GAVAZZA"/>
    <s v="ATAIDE.SANTANA@pepsico.com"/>
    <s v="A"/>
  </r>
  <r>
    <s v="Total Operacoes"/>
    <s v="Manufatura Nutrition"/>
    <n v="80007224"/>
    <s v="VAGNER CORREIA AMORIM"/>
    <s v="Fábrica Feira de Santana"/>
    <n v="5031"/>
    <x v="0"/>
    <s v="P50654227"/>
    <n v="20009"/>
    <s v="FÁBRICA FEIRA DE SANTANA"/>
    <s v="BR1A312"/>
    <x v="3"/>
    <d v="2015-09-08T00:00:00"/>
    <s v="22/4"/>
    <s v="14:20 18:00 19:10 22:45"/>
    <n v="40172715"/>
    <s v="ALINE SOARES ANDRADE GAVAZZA"/>
    <s v="VAGNER.CORREIAAMORIM@pepsico.com"/>
    <s v="A"/>
  </r>
  <r>
    <s v="Total Operacoes"/>
    <s v="Manufatura Nutrition"/>
    <n v="40201681"/>
    <s v="MARCUS VINICIUS DE OLIVEIRA BEIRAO"/>
    <s v="Fábrica Feira de Santana"/>
    <n v="5031"/>
    <x v="0"/>
    <s v="P00097021"/>
    <n v="20009"/>
    <s v="FÁBRICA FEIRA DE SANTANA"/>
    <s v="BR1A312"/>
    <x v="3"/>
    <d v="2012-09-05T00:00:00"/>
    <s v="14/3"/>
    <s v="22:35 01:00 02:10 06:10"/>
    <n v="40172715"/>
    <s v="ALINE SOARES ANDRADE GAVAZZA"/>
    <s v="MARCUS.BEIRAO1@pepsico.com"/>
    <s v="A"/>
  </r>
  <r>
    <s v="Total Operacoes"/>
    <s v="Manufatura Nutrition"/>
    <n v="40296986"/>
    <s v="JENIVALDO DE JESUS DA SILVA"/>
    <s v="Fábrica Feira de Santana"/>
    <n v="5031"/>
    <x v="0"/>
    <s v="P50422376"/>
    <n v="20009"/>
    <s v="FÁBRICA FEIRA DE SANTANA"/>
    <s v="BR1A312"/>
    <x v="3"/>
    <d v="2015-05-18T00:00:00"/>
    <s v="29/10"/>
    <s v="06:00 10:00 11:10 14:30"/>
    <n v="40172715"/>
    <s v="ALINE SOARES ANDRADE GAVAZZA"/>
    <s v="JENIVALDO.DASILVA@pepsico.com"/>
    <s v="A"/>
  </r>
  <r>
    <s v="Total Operacoes"/>
    <s v="Manufatura Nutrition"/>
    <n v="40297022"/>
    <s v="EMANUEL ALMEIDA DE LIMA"/>
    <s v="Fábrica Feira de Santana"/>
    <n v="5179"/>
    <x v="1"/>
    <s v="P00092610"/>
    <n v="20009"/>
    <s v="FÁBRICA FEIRA DE SANTANA"/>
    <s v="BR1A312"/>
    <x v="3"/>
    <d v="2015-05-18T00:00:00"/>
    <s v="9/9"/>
    <s v="06:00 10:00 11:10 14:30"/>
    <n v="40172715"/>
    <s v="ALINE SOARES ANDRADE GAVAZZA"/>
    <s v="EMANUEL.DELIMA@pepsico.com"/>
    <s v="A"/>
  </r>
  <r>
    <s v="Total Operacoes"/>
    <s v="Manufatura Nutrition"/>
    <n v="40205767"/>
    <s v="ADRIANO DOS SANTOS MORAIS"/>
    <s v="Fábrica Feira de Santana"/>
    <n v="5031"/>
    <x v="0"/>
    <s v="P00190672"/>
    <n v="20009"/>
    <s v="FÁBRICA FEIRA DE SANTANA"/>
    <s v="BR1A312"/>
    <x v="3"/>
    <d v="2012-11-07T00:00:00"/>
    <s v="10/5"/>
    <s v="22:35 01:00 02:10 06:10"/>
    <n v="40172715"/>
    <s v="ALINE SOARES ANDRADE GAVAZZA"/>
    <s v="adriano.morais@pepsico.com"/>
    <s v="A"/>
  </r>
  <r>
    <s v="Total Operacoes"/>
    <s v="Manufatura Nutrition"/>
    <n v="40192612"/>
    <s v="JAIRO RODRIGUES NEPOMUCENO"/>
    <s v="Fábrica Feira de Santana"/>
    <n v="5031"/>
    <x v="0"/>
    <s v="P00097020"/>
    <n v="20009"/>
    <s v="FÁBRICA FEIRA DE SANTANA"/>
    <s v="BR1A312"/>
    <x v="3"/>
    <d v="2012-07-12T00:00:00"/>
    <s v="22/6"/>
    <s v="06:00 10:00 11:10 14:30"/>
    <n v="40172715"/>
    <s v="ALINE SOARES ANDRADE GAVAZZA"/>
    <s v="jairo.nepomuceno@pepsico.com"/>
    <s v="LOA até 6M"/>
  </r>
  <r>
    <s v="Total Operacoes"/>
    <s v="Manufatura Nutrition"/>
    <n v="80007689"/>
    <s v="SAMUEL DE ALMEIDA ALVES"/>
    <s v="Fábrica Feira de Santana"/>
    <n v="5179"/>
    <x v="1"/>
    <s v="P00094747"/>
    <n v="20009"/>
    <s v="FÁBRICA FEIRA DE SANTANA"/>
    <s v="BR1A312"/>
    <x v="3"/>
    <d v="2015-09-21T00:00:00"/>
    <s v="5/7"/>
    <s v="14:20 18:00 19:10 22:45"/>
    <n v="40172715"/>
    <s v="ALINE SOARES ANDRADE GAVAZZA"/>
    <s v="samuel.dealmeidaalves@pepsico.com"/>
    <s v="LOA até 6M"/>
  </r>
  <r>
    <s v="Total Operacoes"/>
    <s v="Manufatura Nutrition"/>
    <n v="40216296"/>
    <s v="JOSELMA LEAO COSTA NUNES"/>
    <s v="Fábrica Feira de Santana"/>
    <n v="5179"/>
    <x v="1"/>
    <s v="P00107082"/>
    <n v="20009"/>
    <s v="FÁBRICA FEIRA DE SANTANA"/>
    <s v="BR1A312"/>
    <x v="3"/>
    <d v="2013-06-10T00:00:00"/>
    <s v="27/5"/>
    <s v="08:00 12:00 13:00 17:30"/>
    <n v="40172715"/>
    <s v="ALINE SOARES ANDRADE GAVAZZA"/>
    <s v="joselma_leao2010@hotmail.com"/>
    <s v="A"/>
  </r>
  <r>
    <s v="Total Operacoes"/>
    <s v="Manufatura Nutrition"/>
    <n v="80013790"/>
    <s v="FERNANDO DA SILVA MOREIRA"/>
    <s v="Fábrica Feira de Santana"/>
    <n v="5031"/>
    <x v="0"/>
    <s v="P00190674"/>
    <n v="20009"/>
    <s v="FÁBRICA FEIRA DE SANTANA"/>
    <s v="BR1A312"/>
    <x v="3"/>
    <d v="2016-03-07T00:00:00"/>
    <s v="18/9"/>
    <s v="14:20 18:00 19:10 22:45"/>
    <n v="40172715"/>
    <s v="ALINE SOARES ANDRADE GAVAZZA"/>
    <s v="fernando.dasilvamoreira@pepsico.com"/>
    <s v="A"/>
  </r>
  <r>
    <s v="Total Operacoes"/>
    <s v="Manufatura Nutrition"/>
    <n v="40192681"/>
    <s v="JEANDERSON BATISTA NASCIMENTO"/>
    <s v="Fábrica Feira de Santana"/>
    <n v="5031"/>
    <x v="0"/>
    <s v="P00097019"/>
    <n v="20009"/>
    <s v="FÁBRICA FEIRA DE SANTANA"/>
    <s v="BR1A312"/>
    <x v="3"/>
    <d v="2012-07-17T00:00:00"/>
    <s v="10/8"/>
    <s v="14:20 18:00 19:10 22:45"/>
    <n v="40172715"/>
    <s v="ALINE SOARES ANDRADE GAVAZZA"/>
    <s v="jeanderson.batista@pepsico.com"/>
    <s v="A"/>
  </r>
  <r>
    <s v="Total Operacoes"/>
    <s v="Manufatura Nutrition"/>
    <n v="80007458"/>
    <s v="JEFERSON DO AMARAL SANTOS"/>
    <s v="Fábrica Feira de Santana"/>
    <n v="5031"/>
    <x v="0"/>
    <s v="P50654224"/>
    <n v="20009"/>
    <s v="FÁBRICA FEIRA DE SANTANA"/>
    <s v="BR1A312"/>
    <x v="3"/>
    <d v="2015-09-21T00:00:00"/>
    <s v="11/1"/>
    <s v="06:00 10:00 11:10 14:30"/>
    <n v="40172715"/>
    <s v="ALINE SOARES ANDRADE GAVAZZA"/>
    <s v="jeferson.doamaralsantos@pepsico.com"/>
    <s v="A"/>
  </r>
  <r>
    <s v="Total Operacoes"/>
    <s v="Manufatura Nutrition"/>
    <n v="80143927"/>
    <s v="ESMERALDA MARTINS DO NASCIMENTO MAGALHAES"/>
    <s v="Fábrica Feira de Santana"/>
    <n v="5179"/>
    <x v="1"/>
    <s v="P00109370"/>
    <n v="20009"/>
    <s v="FÁBRICA FEIRA DE SANTANA"/>
    <s v="BR1A312"/>
    <x v="3"/>
    <d v="2018-09-10T00:00:00"/>
    <s v="24/11"/>
    <s v="14:20 18:00 19:10 22:45"/>
    <n v="40172715"/>
    <s v="ALINE SOARES ANDRADE GAVAZZA"/>
    <s v="ESMERALDA.MAGALHAES@pepsico.com"/>
    <s v="A"/>
  </r>
  <r>
    <s v="Total Operacoes"/>
    <s v="Manufatura Nutrition"/>
    <n v="80157138"/>
    <s v="ROSENEIDE SANTANA CRUZ"/>
    <s v="Fábrica Feira de Santana"/>
    <n v="5031"/>
    <x v="0"/>
    <s v="P00073207"/>
    <n v="20009"/>
    <s v="FÁBRICA FEIRA DE SANTANA"/>
    <s v="BR1A312"/>
    <x v="3"/>
    <d v="2018-12-03T00:00:00"/>
    <s v="18/1"/>
    <s v="06:00 10:00 11:10 14:30"/>
    <n v="40172715"/>
    <s v="ALINE SOARES ANDRADE GAVAZZA"/>
    <s v="ROSENEIDE.CRUZ@pepsico.com"/>
    <s v="LOA até 6M"/>
  </r>
  <r>
    <s v="Total Operacoes"/>
    <s v="Manufatura Nutrition"/>
    <n v="80185857"/>
    <s v="EMANUELA BATISTA SANTOS"/>
    <s v="Fábrica Feira de Santana"/>
    <n v="5179"/>
    <x v="1"/>
    <s v="P00075373"/>
    <n v="20009"/>
    <s v="FÁBRICA FEIRA DE SANTANA"/>
    <s v="BR1A312"/>
    <x v="3"/>
    <d v="2019-05-13T00:00:00"/>
    <s v="29/7"/>
    <s v="14:20 18:00 19:10 22:45"/>
    <n v="40172715"/>
    <s v="ALINE SOARES ANDRADE GAVAZZA"/>
    <s v="emanuela.santos@pepsico.com"/>
    <s v="A"/>
  </r>
  <r>
    <s v="Total Operacoes"/>
    <s v="Manufatura Nutrition"/>
    <n v="80187110"/>
    <s v="LEILA MIRELLA SOUSA SANTOS COSTA"/>
    <s v="Fábrica Feira de Santana"/>
    <n v="5179"/>
    <x v="1"/>
    <s v="P00085977"/>
    <n v="20009"/>
    <s v="FÁBRICA FEIRA DE SANTANA"/>
    <s v="BR1A312"/>
    <x v="3"/>
    <d v="2019-05-13T00:00:00"/>
    <s v="18/3"/>
    <s v="06:00 10:00 11:10 14:30"/>
    <n v="40172715"/>
    <s v="ALINE SOARES ANDRADE GAVAZZA"/>
    <s v="LEILAMIRELLA.COSTA@pepsico.com"/>
    <s v="A"/>
  </r>
  <r>
    <s v="Total Operacoes"/>
    <s v="Manufatura Nutrition"/>
    <n v="80300509"/>
    <s v="THARCISIO DOS SANTOS SENA"/>
    <s v="Fábrica Feira de Santana"/>
    <n v="5031"/>
    <x v="0"/>
    <s v="P00190673"/>
    <n v="20009"/>
    <s v="FÁBRICA FEIRA DE SANTANA"/>
    <s v="BR1A312"/>
    <x v="3"/>
    <d v="2020-11-16T00:00:00"/>
    <s v="3/3"/>
    <s v="06:00 10:00 11:10 14:30"/>
    <n v="40172715"/>
    <s v="ALINE SOARES ANDRADE GAVAZZA"/>
    <s v="THARCISIO.SENA@pepsico.com"/>
    <s v="A"/>
  </r>
  <r>
    <s v="Total Operacoes"/>
    <s v="Manufatura Nutrition"/>
    <n v="80851526"/>
    <s v="LUCIANE LIMA"/>
    <s v="Fábrica Feira de Santana"/>
    <n v="5179"/>
    <x v="1"/>
    <s v="P00073892"/>
    <n v="20009"/>
    <s v="FÁBRICA FEIRA DE SANTANA"/>
    <s v="BR1A312"/>
    <x v="3"/>
    <d v="2021-07-05T00:00:00"/>
    <s v="14/12"/>
    <s v="14:20 18:00 19:10 22:45"/>
    <n v="40172715"/>
    <s v="ALINE SOARES ANDRADE GAVAZZA"/>
    <s v="LUCIANE.LIMA@pepsico.com"/>
    <s v="A"/>
  </r>
  <r>
    <s v="Total Operacoes"/>
    <s v="Manufatura Nutrition"/>
    <n v="80916371"/>
    <s v="DAIANE DE OLIVEIRA RODRIGUES"/>
    <s v="Fábrica Feira de Santana"/>
    <n v="5179"/>
    <x v="1"/>
    <s v="P00109371"/>
    <n v="20009"/>
    <s v="FÁBRICA FEIRA DE SANTANA"/>
    <s v="BR1A312"/>
    <x v="3"/>
    <d v="2022-03-02T00:00:00"/>
    <s v="24/1"/>
    <s v="14:20 18:00 19:10 22:45"/>
    <n v="40172715"/>
    <s v="ALINE SOARES ANDRADE GAVAZZA"/>
    <s v="DAIANE.RODRIGUES@pepsico.com"/>
    <s v="A"/>
  </r>
  <r>
    <s v="Total Operacoes"/>
    <s v="Manufatura Nutrition"/>
    <n v="80931429"/>
    <s v="LEANDRO SANTOS DA SILVA"/>
    <s v="Fábrica Feira de Santana"/>
    <n v="5031"/>
    <x v="0"/>
    <s v="P00190671"/>
    <n v="20009"/>
    <s v="FÁBRICA FEIRA DE SANTANA"/>
    <s v="BR1A312"/>
    <x v="3"/>
    <d v="2022-04-18T00:00:00"/>
    <s v="28/11"/>
    <s v="06:00 10:00 11:10 14:30"/>
    <n v="40172715"/>
    <s v="ALINE SOARES ANDRADE GAVAZZA"/>
    <s v="LEANDRO.DASILVA2@pepsico.com"/>
    <s v="A"/>
  </r>
  <r>
    <s v="Total Operacoes"/>
    <s v="Manufatura Nutrition"/>
    <n v="80997268"/>
    <s v="UBALDO RAMOS NETO"/>
    <s v="Fábrica Feira de Santana"/>
    <n v="5031"/>
    <x v="0"/>
    <s v="P00097022"/>
    <n v="20009"/>
    <s v="FÁBRICA FEIRA DE SANTANA"/>
    <s v="BR1A312"/>
    <x v="3"/>
    <d v="2022-11-07T00:00:00"/>
    <s v="2/6"/>
    <s v="22:35 01:00 02:10 06:10"/>
    <n v="40172715"/>
    <s v="ALINE SOARES ANDRADE GAVAZZA"/>
    <s v="UBALDO.NETO@pepsico.com"/>
    <s v="A"/>
  </r>
  <r>
    <s v="Total Operacoes"/>
    <s v="Manufatura Nutrition"/>
    <n v="80997371"/>
    <s v="ADRIANO MACHADO FERREIRA"/>
    <s v="Fábrica Feira de Santana"/>
    <n v="5031"/>
    <x v="0"/>
    <s v="P00073641"/>
    <n v="20009"/>
    <s v="FÁBRICA FEIRA DE SANTANA"/>
    <s v="BR1A312"/>
    <x v="3"/>
    <d v="2022-11-07T00:00:00"/>
    <s v="27/12"/>
    <s v="14:20 18:00 19:10 22:45"/>
    <n v="40172715"/>
    <s v="ALINE SOARES ANDRADE GAVAZZA"/>
    <s v="ADRIANO.FERREIRA@pepsico.com"/>
    <s v="A"/>
  </r>
  <r>
    <s v="Total Operacoes"/>
    <s v="Manufatura Nutrition"/>
    <n v="81003485"/>
    <s v="FERNANDO GONCALVES ALVES"/>
    <s v="Fábrica Feira de Santana"/>
    <n v="5179"/>
    <x v="1"/>
    <s v="P50613853"/>
    <n v="20009"/>
    <s v="FÁBRICA FEIRA DE SANTANA"/>
    <s v="BR1A312"/>
    <x v="3"/>
    <d v="2022-12-05T00:00:00"/>
    <s v="13/12"/>
    <s v="22:35 01:00 02:10 06:10"/>
    <n v="40172715"/>
    <s v="ALINE SOARES ANDRADE GAVAZZA"/>
    <s v="FERNANDO.ALVES@pepsico.com"/>
    <s v="A"/>
  </r>
  <r>
    <s v="Total Operacoes"/>
    <s v="Manufatura Nutrition"/>
    <n v="81033488"/>
    <s v="JULIANA ALVES CIRIACO DOS SANTOS"/>
    <s v="Fábrica Feira de Santana"/>
    <n v="5179"/>
    <x v="1"/>
    <s v="P50654231"/>
    <n v="20009"/>
    <s v="FÁBRICA FEIRA DE SANTANA"/>
    <s v="BR1A312"/>
    <x v="3"/>
    <d v="2023-04-03T00:00:00"/>
    <s v="16/7"/>
    <s v="06:00 10:00 11:10 14:30"/>
    <n v="40172715"/>
    <s v="ALINE SOARES ANDRADE GAVAZZA"/>
    <s v="JULIANA.DOSSANTOS@pepsico.com"/>
    <s v="A"/>
  </r>
  <r>
    <s v="Total Operacoes"/>
    <s v="Manufatura Nutrition"/>
    <n v="81033775"/>
    <s v="FORLAN RIBEIRO CARDOSO"/>
    <s v="Fábrica Feira de Santana"/>
    <n v="5179"/>
    <x v="1"/>
    <s v="P50654228"/>
    <n v="20009"/>
    <s v="FÁBRICA FEIRA DE SANTANA"/>
    <s v="BR1A312"/>
    <x v="3"/>
    <d v="2023-04-03T00:00:00"/>
    <s v="25/6"/>
    <s v="22:35 01:00 02:10 06:10"/>
    <n v="40172715"/>
    <s v="ALINE SOARES ANDRADE GAVAZZA"/>
    <s v="FORLAN.CARDOSO@pepsico.com"/>
    <s v="A"/>
  </r>
  <r>
    <s v="Total Operacoes"/>
    <s v="Manufatura Nutrition"/>
    <n v="81136143"/>
    <s v="WEMERSON SANTOS MARTINS"/>
    <s v="Fábrica Feira de Santana"/>
    <n v="5179"/>
    <x v="1"/>
    <s v="P00094740"/>
    <n v="20009"/>
    <s v="FÁBRICA FEIRA DE SANTANA"/>
    <s v="BR1A312"/>
    <x v="3"/>
    <d v="2024-04-01T00:00:00"/>
    <s v="17/1"/>
    <s v="14:20 18:00 19:10 22:45"/>
    <n v="40172715"/>
    <s v="ALINE SOARES ANDRADE GAVAZZA"/>
    <s v="WEMERSON.MARTINS@pepsico.com"/>
    <s v="A"/>
  </r>
  <r>
    <s v="Total Operacoes"/>
    <s v="Manufatura Nutrition"/>
    <n v="81145746"/>
    <s v="DERALDO DOS SANTOS JUNIOR"/>
    <s v="Fábrica Feira de Santana"/>
    <n v="5031"/>
    <x v="0"/>
    <s v="P00190678"/>
    <n v="20009"/>
    <s v="FÁBRICA FEIRA DE SANTANA"/>
    <s v="BR1A312"/>
    <x v="3"/>
    <d v="2024-05-13T00:00:00"/>
    <s v="18/5"/>
    <s v="14:20 18:00 19:10 22:45"/>
    <n v="40172715"/>
    <s v="ALINE SOARES ANDRADE GAVAZZA"/>
    <s v="DERALDO.DOSSANTOSJUNIOR@pepsico.com"/>
    <s v="A"/>
  </r>
  <r>
    <s v="Total Operacoes"/>
    <s v="Manufatura Nutrition"/>
    <n v="81150129"/>
    <s v="LEANDRO BARBOSA SOUZA"/>
    <s v="Fábrica Feira de Santana"/>
    <n v="5179"/>
    <x v="1"/>
    <s v="P00075374"/>
    <n v="20009"/>
    <s v="FÁBRICA FEIRA DE SANTANA"/>
    <s v="BR1A312"/>
    <x v="3"/>
    <d v="2024-06-03T00:00:00"/>
    <s v="3/2"/>
    <s v="06:00 10:00 11:10 14:30"/>
    <n v="40172715"/>
    <s v="ALINE SOARES ANDRADE GAVAZZA"/>
    <s v="LEANDRO.BARBOSASOUZA@pepsico.com"/>
    <s v="A"/>
  </r>
  <r>
    <s v="Total Operacoes"/>
    <s v="Manufatura Nutrition"/>
    <n v="81150509"/>
    <s v="MARIO ANDERSON SANTANA CARNEIRO"/>
    <s v="Fábrica Feira de Santana"/>
    <n v="5031"/>
    <x v="0"/>
    <s v="P00190675"/>
    <n v="20009"/>
    <s v="FÁBRICA FEIRA DE SANTANA"/>
    <s v="BR1A312"/>
    <x v="3"/>
    <d v="2024-06-03T00:00:00"/>
    <s v="6/6"/>
    <s v="22:35 01:00 02:10 06:10"/>
    <n v="40172715"/>
    <s v="ALINE SOARES ANDRADE GAVAZZA"/>
    <s v="MARIO.SANTANACARNEIRO@pepsico.com"/>
    <s v="A"/>
  </r>
  <r>
    <s v="Total Operacoes"/>
    <s v="Manufatura Nutrition"/>
    <n v="81170000"/>
    <s v="FRANCISCO DE ASSIS SILVA MAGALHAES"/>
    <s v="Fábrica Feira de Santana"/>
    <n v="5179"/>
    <x v="1"/>
    <s v="P50840846"/>
    <n v="20009"/>
    <s v="FÁBRICA FEIRA DE SANTANA"/>
    <s v="BR1A312"/>
    <x v="3"/>
    <d v="2024-08-12T00:00:00"/>
    <s v="29/1"/>
    <s v="06:00 10:00 11:10 14:30"/>
    <n v="40172715"/>
    <s v="ALINE SOARES ANDRADE GAVAZZA"/>
    <s v="FRANCISCO.MAGALHAES@pepsico.com"/>
    <s v="A"/>
  </r>
  <r>
    <s v="Total Operacoes"/>
    <s v="Qualidade"/>
    <n v="40286011"/>
    <s v="MIRABELE CERQUEIRA SANTANA NASCIMENTO"/>
    <s v="Fábrica Feira de Santana"/>
    <n v="2300"/>
    <x v="3"/>
    <s v="P00087005"/>
    <n v="20009"/>
    <s v="FÁBRICA FEIRA DE SANTANA"/>
    <s v="BR1A002"/>
    <x v="4"/>
    <d v="2014-10-20T00:00:00"/>
    <s v="11/12"/>
    <s v="06:00 10:00 11:10 14:30"/>
    <n v="80122249"/>
    <s v="SORAYA ALVES BATISTA"/>
    <s v="mirabele.nascimento@pepsico.com"/>
    <s v="A"/>
  </r>
  <r>
    <s v="Total Operacoes"/>
    <s v="Qualidade"/>
    <n v="40302139"/>
    <s v="RAILANE SANTOS BRITO"/>
    <s v="Fábrica Feira de Santana"/>
    <n v="2292"/>
    <x v="4"/>
    <s v="P50611894"/>
    <n v="20009"/>
    <s v="FÁBRICA FEIRA DE SANTANA"/>
    <s v="BR1A002"/>
    <x v="4"/>
    <d v="2015-08-03T00:00:00"/>
    <s v="17/10"/>
    <s v="07:30 12:00 13:00 17:18"/>
    <n v="80122249"/>
    <s v="SORAYA ALVES BATISTA"/>
    <s v="railane.brito@pepsico.com"/>
    <s v="A"/>
  </r>
  <r>
    <s v="Total Operacoes"/>
    <s v="Qualidade"/>
    <n v="80122249"/>
    <s v="SORAYA ALVES BATISTA"/>
    <s v="Fábrica Feira de Santana"/>
    <n v="2270"/>
    <x v="5"/>
    <s v="P50701085"/>
    <n v="20009"/>
    <s v="FÁBRICA FEIRA DE SANTANA"/>
    <s v="BR1A002"/>
    <x v="4"/>
    <d v="2018-06-04T00:00:00"/>
    <s v="28/7"/>
    <s v="08:00 12:00 13:00 17:00"/>
    <n v="80023567"/>
    <s v="SILVIA ECHEVARRIA ALBANO"/>
    <s v="soraya.batista@pepsico.com"/>
    <s v="A"/>
  </r>
  <r>
    <s v="Total Operacoes"/>
    <s v="Qualidade"/>
    <n v="80159517"/>
    <s v="DAIANE SILVA XAVIER"/>
    <s v="Fábrica Feira de Santana"/>
    <n v="2269"/>
    <x v="6"/>
    <s v="P50961828"/>
    <n v="20009"/>
    <s v="FÁBRICA FEIRA DE SANTANA"/>
    <s v="BR1A002"/>
    <x v="4"/>
    <d v="2018-12-17T00:00:00"/>
    <s v="3/4"/>
    <s v="07:30 12:00 13:00 17:18"/>
    <n v="80122249"/>
    <s v="SORAYA ALVES BATISTA"/>
    <s v="DAIANE.XAVIER@pepsico.com"/>
    <s v="A"/>
  </r>
  <r>
    <s v="Total Operacoes"/>
    <s v="Qualidade"/>
    <n v="80900231"/>
    <s v="IASMIM DE ALMEIDA LIMA"/>
    <s v="Fábrica Feira de Santana"/>
    <n v="2292"/>
    <x v="4"/>
    <s v="P50669128"/>
    <n v="20009"/>
    <s v="FÁBRICA FEIRA DE SANTANA"/>
    <s v="BR1A002"/>
    <x v="4"/>
    <d v="2022-01-03T00:00:00"/>
    <s v="30/10"/>
    <s v="07:30 12:00 13:00 17:18"/>
    <n v="80122249"/>
    <s v="SORAYA ALVES BATISTA"/>
    <s v="IASMIM.LIMA@pepsico.com"/>
    <s v="A"/>
  </r>
  <r>
    <s v="Total Operacoes"/>
    <s v="Qualidade"/>
    <n v="81009737"/>
    <s v="ANDERSON FELIPE VENTURA DA SILVA"/>
    <s v="Fábrica Feira de Santana"/>
    <n v="2300"/>
    <x v="3"/>
    <s v="P50359766"/>
    <n v="20009"/>
    <s v="FÁBRICA FEIRA DE SANTANA"/>
    <s v="BR1A002"/>
    <x v="4"/>
    <d v="2023-01-02T00:00:00"/>
    <s v="18/5"/>
    <s v="14:20 18:00 19:10 22:45"/>
    <n v="80122249"/>
    <s v="SORAYA ALVES BATISTA"/>
    <s v="ANDERSONFELIPE.DASILVA@pepsico.com"/>
    <s v="A"/>
  </r>
  <r>
    <s v="Total Operacoes"/>
    <s v="Qualidade"/>
    <n v="81041744"/>
    <s v="MARIA VERBENA SANTOS LIMA"/>
    <s v="Fábrica Feira de Santana"/>
    <n v="2300"/>
    <x v="3"/>
    <s v="P50308302"/>
    <n v="20009"/>
    <s v="FÁBRICA FEIRA DE SANTANA"/>
    <s v="BR1A002"/>
    <x v="4"/>
    <d v="2023-05-02T00:00:00"/>
    <s v="1/4"/>
    <s v="06:00 10:00 11:10 14:30"/>
    <n v="80122249"/>
    <s v="SORAYA ALVES BATISTA"/>
    <s v="MARIAVERBENA.LIMA@pepsico.com"/>
    <s v="A"/>
  </r>
  <r>
    <s v="Total Operacoes"/>
    <s v="Qualidade"/>
    <n v="81050387"/>
    <s v="JADNA ALMEIDA ESTRELA"/>
    <s v="Fábrica Feira de Santana"/>
    <n v="2300"/>
    <x v="3"/>
    <s v="P50676436"/>
    <n v="20009"/>
    <s v="FÁBRICA FEIRA DE SANTANA"/>
    <s v="BR1A002"/>
    <x v="4"/>
    <d v="2023-06-05T00:00:00"/>
    <s v="14/1"/>
    <s v="06:00 10:00 11:10 14:30"/>
    <n v="80122249"/>
    <s v="SORAYA ALVES BATISTA"/>
    <s v="JADNA.ESTRELA@pepsico.com"/>
    <s v="A"/>
  </r>
  <r>
    <s v="Total Operacoes"/>
    <s v="Qualidade"/>
    <n v="81232514"/>
    <s v="GABRIELLE CASAES SANTANA"/>
    <s v="Fábrica Feira de Santana"/>
    <n v="2300"/>
    <x v="3"/>
    <s v="P50935791"/>
    <n v="20009"/>
    <s v="FÁBRICA FEIRA DE SANTANA"/>
    <s v="BR1A002"/>
    <x v="4"/>
    <d v="2025-08-04T00:00:00"/>
    <s v="30/10"/>
    <s v="14:20 18:00 19:10 22:45"/>
    <n v="80122249"/>
    <s v="SORAYA ALVES BATISTA"/>
    <s v="Gabrielle.Casaes@pepsico.com"/>
    <s v="A"/>
  </r>
  <r>
    <s v="Total Operacoes"/>
    <s v="Qualidade"/>
    <n v="81238713"/>
    <s v="YASMIN CRUZ LOPES"/>
    <s v="Fábrica Feira de Santana"/>
    <n v="2300"/>
    <x v="3"/>
    <s v="P00086737"/>
    <n v="20009"/>
    <s v="FÁBRICA FEIRA DE SANTANA"/>
    <s v="BR1A002"/>
    <x v="4"/>
    <d v="2025-09-15T00:00:00"/>
    <s v="20/3"/>
    <s v="06:00 10:00 11:10 14:30"/>
    <n v="80122249"/>
    <s v="SORAYA ALVES BATISTA"/>
    <s v="Yasmin.Lopes@pepsico.com"/>
    <s v="A"/>
  </r>
  <r>
    <s v="Total Operacoes"/>
    <s v="Manufatura Nutrition"/>
    <n v="40185173"/>
    <s v="EDVAN SOUZA SANTA BARBARA"/>
    <s v="Fábrica Feira de Santana"/>
    <n v="5504"/>
    <x v="7"/>
    <s v="P00075067"/>
    <n v="20009"/>
    <s v="FÁBRICA FEIRA DE SANTANA"/>
    <s v="BR1A007"/>
    <x v="5"/>
    <d v="2012-01-16T00:00:00"/>
    <s v="20/2"/>
    <s v="22:35 01:00 02:10 06:10"/>
    <n v="40172746"/>
    <s v="ANDERSON DE JESUS AMARAL"/>
    <s v="edvan.barbara@pepsico.com"/>
    <s v="A"/>
  </r>
  <r>
    <s v="Total Operacoes"/>
    <s v="Manufatura Nutrition"/>
    <n v="40216201"/>
    <s v="LEONARDO DIAS DA SILVA"/>
    <s v="Fábrica Feira de Santana"/>
    <n v="5504"/>
    <x v="7"/>
    <s v="P50863249"/>
    <n v="20009"/>
    <s v="FÁBRICA FEIRA DE SANTANA"/>
    <s v="BR1A007"/>
    <x v="5"/>
    <d v="2013-06-10T00:00:00"/>
    <s v="12/3"/>
    <s v="06:00 10:00 11:10 14:30"/>
    <n v="40172746"/>
    <s v="ANDERSON DE JESUS AMARAL"/>
    <s v="Leonardo.DiasDaSilva@pepsico.com"/>
    <s v="A"/>
  </r>
  <r>
    <s v="Total Operacoes"/>
    <s v="Manufatura Nutrition"/>
    <n v="80888568"/>
    <s v="CLAUDIONOR CERQUEIRA DA COSTA"/>
    <s v="Fábrica Feira de Santana"/>
    <n v="5504"/>
    <x v="7"/>
    <s v="P50477874"/>
    <n v="20009"/>
    <s v="FÁBRICA FEIRA DE SANTANA"/>
    <s v="BR1A007"/>
    <x v="5"/>
    <d v="2021-11-16T00:00:00"/>
    <s v="9/8"/>
    <s v="14:20 18:00 19:10 22:45"/>
    <n v="40172746"/>
    <s v="ANDERSON DE JESUS AMARAL"/>
    <s v="CLAUDIONOR.DACOSTA@pepsico.com"/>
    <s v="A"/>
  </r>
  <r>
    <s v="Total Operacoes"/>
    <s v="Manufatura Nutrition"/>
    <n v="80977012"/>
    <s v="RENATO DE JESUS LACERDA"/>
    <s v="Fábrica Feira de Santana"/>
    <n v="5504"/>
    <x v="7"/>
    <s v="P00073310"/>
    <n v="20009"/>
    <s v="FÁBRICA FEIRA DE SANTANA"/>
    <s v="BR1A007"/>
    <x v="5"/>
    <d v="2022-09-05T00:00:00"/>
    <s v="4/10"/>
    <s v="06:00 10:00 11:10 14:30"/>
    <n v="40172746"/>
    <s v="ANDERSON DE JESUS AMARAL"/>
    <s v="RENATO.LACERDA@pepsico.com"/>
    <s v="A"/>
  </r>
  <r>
    <s v="Total Supply Chain"/>
    <s v="Warehouse"/>
    <n v="80157142"/>
    <s v="JOSEANE BASTOS DOS SANTOS"/>
    <s v="Fábrica Feira de Santana"/>
    <n v="1881"/>
    <x v="8"/>
    <s v="P00085747"/>
    <n v="20009"/>
    <s v="FÁBRICA FEIRA DE SANTANA"/>
    <s v="BR2A008"/>
    <x v="6"/>
    <d v="2018-12-03T00:00:00"/>
    <s v="23/2"/>
    <s v="06:00 10:00 11:10 14:30"/>
    <n v="40172880"/>
    <s v="ROMUARIO BARBOSA DE OLIVEIRA"/>
    <s v="JOSEANE.DOSSANTOS@pepsico.com"/>
    <s v="A"/>
  </r>
  <r>
    <s v="Total Supply Chain"/>
    <s v="Warehouse"/>
    <n v="81054406"/>
    <s v="MARCILIO NERI DE SOUZA"/>
    <s v="Fábrica Feira de Santana"/>
    <n v="1881"/>
    <x v="8"/>
    <s v="P50687605"/>
    <n v="20009"/>
    <s v="FÁBRICA FEIRA DE SANTANA"/>
    <s v="BR2A008"/>
    <x v="6"/>
    <d v="2023-06-19T00:00:00"/>
    <s v="31/3"/>
    <s v="14:20 18:00 19:10 22:45"/>
    <n v="40172880"/>
    <s v="ROMUARIO BARBOSA DE OLIVEIRA"/>
    <s v="MARCILIO.NERIDESOUZA@pepsico.com"/>
    <s v="A"/>
  </r>
  <r>
    <s v="Total Operacoes"/>
    <s v="Manufatura Nutrition"/>
    <n v="40182881"/>
    <s v="LUIS ROGERIO SOARES SANTANA"/>
    <s v="Fábrica Feira de Santana"/>
    <n v="5031"/>
    <x v="0"/>
    <s v="P00073661"/>
    <n v="20009"/>
    <s v="FÁBRICA FEIRA DE SANTANA"/>
    <s v="BR1A012"/>
    <x v="7"/>
    <d v="2011-11-14T00:00:00"/>
    <s v="24/6"/>
    <s v="06:00 10:00 11:10 14:30"/>
    <n v="40172715"/>
    <s v="ALINE SOARES ANDRADE GAVAZZA"/>
    <s v="luis.santana@pepsico.com"/>
    <s v="A"/>
  </r>
  <r>
    <s v="Total Operacoes"/>
    <s v="Manufatura Nutrition"/>
    <n v="40199682"/>
    <s v="SAMUEL DA LUZ ABADE"/>
    <s v="Fábrica Feira de Santana"/>
    <n v="5031"/>
    <x v="0"/>
    <s v="P00073658"/>
    <n v="20009"/>
    <s v="FÁBRICA FEIRA DE SANTANA"/>
    <s v="BR1A012"/>
    <x v="7"/>
    <d v="2012-07-23T00:00:00"/>
    <s v="23/2"/>
    <s v="06:00 10:00 11:10 14:30"/>
    <n v="40172715"/>
    <s v="ALINE SOARES ANDRADE GAVAZZA"/>
    <s v="samuel.abade@pepsico.com"/>
    <s v="A"/>
  </r>
  <r>
    <s v="Total Operacoes"/>
    <s v="Manufatura Nutrition"/>
    <n v="80189683"/>
    <s v="RODRIGO MATOS DA SILVA NASCIMENTO"/>
    <s v="Fábrica Feira de Santana"/>
    <n v="5031"/>
    <x v="0"/>
    <s v="P50309407"/>
    <n v="20009"/>
    <s v="FÁBRICA FEIRA DE SANTANA"/>
    <s v="BR1A012"/>
    <x v="7"/>
    <d v="2019-06-03T00:00:00"/>
    <s v="14/2"/>
    <s v="14:20 18:00 19:10 22:45"/>
    <n v="40172715"/>
    <s v="ALINE SOARES ANDRADE GAVAZZA"/>
    <s v="rodrigo.nascimento@pepsico.com"/>
    <s v="A"/>
  </r>
  <r>
    <s v="Total Operacoes"/>
    <s v="Manufatura Nutrition"/>
    <n v="81200617"/>
    <s v="VYTOR HUGO LIMA BARROS"/>
    <s v="Fábrica Feira de Santana"/>
    <n v="5179"/>
    <x v="1"/>
    <s v="P00086938"/>
    <n v="20009"/>
    <s v="FÁBRICA FEIRA DE SANTANA"/>
    <s v="BR1A012"/>
    <x v="7"/>
    <d v="2025-02-10T00:00:00"/>
    <s v="17/3"/>
    <s v="06:00 10:00 11:10 14:30"/>
    <n v="40172715"/>
    <s v="ALINE SOARES ANDRADE GAVAZZA"/>
    <s v="vytorbarros560@gmail.com"/>
    <s v="A"/>
  </r>
  <r>
    <s v="Total Operacoes"/>
    <s v="Manufatura Nutrition"/>
    <n v="40192597"/>
    <s v="ISMAEL PORTUGAL DE ALMEIDA"/>
    <s v="Fábrica Feira de Santana"/>
    <n v="5414"/>
    <x v="2"/>
    <s v="P50361931"/>
    <n v="20009"/>
    <s v="FÁBRICA FEIRA DE SANTANA"/>
    <s v="BR1A008"/>
    <x v="8"/>
    <d v="2012-07-12T00:00:00"/>
    <s v="9/4"/>
    <s v="07:30 12:00 13:00 17:18"/>
    <n v="40172715"/>
    <s v="ALINE SOARES ANDRADE GAVAZZA"/>
    <s v="ismael.almeida@pepsico.com"/>
    <s v="A"/>
  </r>
  <r>
    <s v="Total Operacoes"/>
    <s v="Manufatura Nutrition"/>
    <n v="40172715"/>
    <s v="ALINE SOARES ANDRADE GAVAZZA"/>
    <s v="Fábrica Feira de Santana"/>
    <n v="1983"/>
    <x v="9"/>
    <s v="P50703841"/>
    <n v="20009"/>
    <s v="FÁBRICA FEIRA DE SANTANA"/>
    <s v="BR1A008"/>
    <x v="8"/>
    <d v="2011-05-02T00:00:00"/>
    <s v="30/7"/>
    <s v="08:00 12:00 13:00 17:00"/>
    <n v="80106396"/>
    <s v="RODOLFO APARECIDO SANTOS MACHADO"/>
    <s v="aline.andrade@pepsico.com"/>
    <s v="A"/>
  </r>
  <r>
    <s v="Total Operacoes"/>
    <s v="EHS"/>
    <n v="40201957"/>
    <s v="LUCAS DE OLIVEIRA RODRIGUES"/>
    <s v="Fábrica Feira de Santana"/>
    <n v="5464"/>
    <x v="10"/>
    <s v="P00108313"/>
    <n v="20009"/>
    <s v="FÁBRICA FEIRA DE SANTANA"/>
    <s v="BR1A013"/>
    <x v="9"/>
    <d v="2012-09-14T00:00:00"/>
    <s v="28/12"/>
    <s v="07:30 12:00 13:00 17:18"/>
    <n v="80176421"/>
    <s v="NEIDSON DOS SANTOS GOES"/>
    <s v="lucas.rodrigues@pepsico.com"/>
    <s v="A"/>
  </r>
  <r>
    <s v="Total Operacoes"/>
    <s v="EHS"/>
    <n v="81240608"/>
    <s v="MAIRA FLAVIA DE LIMA BAHIA FERREIRA"/>
    <s v="Fábrica Feira de Santana"/>
    <n v="5464"/>
    <x v="10"/>
    <s v="-"/>
    <n v="20009"/>
    <s v="FÁBRICA FEIRA DE SANTANA"/>
    <s v="BR1A013"/>
    <x v="9"/>
    <d v="2025-10-06T00:00:00"/>
    <s v="5/9"/>
    <s v="14:20 18:00 19:10 22:45"/>
    <n v="80176421"/>
    <s v="NEIDSON DOS SANTOS GOES"/>
    <s v="Maira.Bahia@pepsico.com"/>
    <s v="D"/>
  </r>
  <r>
    <s v="Total Operacoes"/>
    <s v="Manufatura Nutrition"/>
    <n v="40177898"/>
    <s v="LUIZ CLAUDIO MOSQUEZI"/>
    <s v="Fábrica Feira de Santana"/>
    <n v="5181"/>
    <x v="11"/>
    <s v="P00073316"/>
    <n v="20009"/>
    <s v="FÁBRICA FEIRA DE SANTANA"/>
    <s v="BR1A014"/>
    <x v="10"/>
    <d v="2011-08-15T00:00:00"/>
    <s v="19/11"/>
    <s v="07:30 12:00 13:00 17:18"/>
    <n v="20203635"/>
    <s v="JUAREZ HENRIQUE ROCHA"/>
    <s v="luiz.mosquezi@pepsico.com"/>
    <s v="A"/>
  </r>
  <r>
    <s v="Total Supply Chain"/>
    <s v="Warehouse"/>
    <n v="40172880"/>
    <s v="ROMUARIO BARBOSA DE OLIVEIRA"/>
    <s v="Fábrica Feira de Santana"/>
    <n v="1916"/>
    <x v="12"/>
    <s v="P50648995"/>
    <n v="20009"/>
    <s v="FÁBRICA FEIRA DE SANTANA"/>
    <s v="BR2A032"/>
    <x v="11"/>
    <d v="2011-05-02T00:00:00"/>
    <s v="22/12"/>
    <s v="08:00 12:00 13:00 17:00"/>
    <n v="80187066"/>
    <s v="KATIA APARECIDA DA SILVA"/>
    <s v="romuario.oliveira@pepsico.com"/>
    <s v="A"/>
  </r>
  <r>
    <s v="Total Supply Chain"/>
    <s v="Warehouse"/>
    <n v="40172548"/>
    <s v="WYLTON DE JESUS SILVA SOUSA"/>
    <s v="Fábrica Feira de Santana"/>
    <n v="1889"/>
    <x v="13"/>
    <s v="P50995180"/>
    <n v="20009"/>
    <s v="FÁBRICA FEIRA DE SANTANA"/>
    <s v="BR2A032"/>
    <x v="11"/>
    <d v="2011-05-02T00:00:00"/>
    <s v="14/2"/>
    <s v="07:30 12:00 13:00 17:18"/>
    <n v="40172880"/>
    <s v="ROMUARIO BARBOSA DE OLIVEIRA"/>
    <s v="wylton.sousa@pepsico.com"/>
    <s v="A"/>
  </r>
  <r>
    <s v="Total Supply Chain"/>
    <s v="Warehouse"/>
    <n v="40182248"/>
    <s v="LHAIS SILVA DOS ANJOS"/>
    <s v="Fábrica Feira de Santana"/>
    <n v="1881"/>
    <x v="8"/>
    <s v="P00075042"/>
    <n v="20009"/>
    <s v="FÁBRICA FEIRA DE SANTANA"/>
    <s v="BR2A032"/>
    <x v="11"/>
    <d v="2011-11-14T00:00:00"/>
    <s v="8/8"/>
    <s v="14:20 18:00 19:10 22:45"/>
    <n v="40172880"/>
    <s v="ROMUARIO BARBOSA DE OLIVEIRA"/>
    <s v="lhais.anjos@pepsico.com"/>
    <s v="A"/>
  </r>
  <r>
    <s v="Total Supply Chain"/>
    <s v="Warehouse"/>
    <n v="40185829"/>
    <s v="NEY DE OLIVEIRA RAMOS"/>
    <s v="Fábrica Feira de Santana"/>
    <n v="1881"/>
    <x v="8"/>
    <s v="P00074012"/>
    <n v="20009"/>
    <s v="FÁBRICA FEIRA DE SANTANA"/>
    <s v="BR2A032"/>
    <x v="11"/>
    <d v="2012-02-09T00:00:00"/>
    <s v="25/3"/>
    <s v="07:30 12:00 13:00 17:18"/>
    <n v="40172880"/>
    <s v="ROMUARIO BARBOSA DE OLIVEIRA"/>
    <s v="ney.ramos@pepsico.com"/>
    <s v="A"/>
  </r>
  <r>
    <s v="Total Supply Chain"/>
    <s v="Warehouse"/>
    <n v="40280015"/>
    <s v="NYLTON SOUSA JUNIOR"/>
    <s v="Fábrica Feira de Santana"/>
    <n v="1881"/>
    <x v="8"/>
    <s v="P00086456"/>
    <n v="20009"/>
    <s v="FÁBRICA FEIRA DE SANTANA"/>
    <s v="BR2A032"/>
    <x v="11"/>
    <d v="2014-08-18T00:00:00"/>
    <s v="26/10"/>
    <s v="06:00 10:00 11:10 14:30"/>
    <n v="40172880"/>
    <s v="ROMUARIO BARBOSA DE OLIVEIRA"/>
    <s v="nylton.sousa@pepsico.com"/>
    <s v="A"/>
  </r>
  <r>
    <s v="Total Supply Chain"/>
    <s v="Warehouse"/>
    <n v="80852123"/>
    <s v="FRANCISCA ERLIANE DE LIMA"/>
    <s v="Fábrica Feira de Santana"/>
    <n v="1881"/>
    <x v="8"/>
    <s v="P50592129"/>
    <n v="20009"/>
    <s v="FÁBRICA FEIRA DE SANTANA"/>
    <s v="BR2A032"/>
    <x v="11"/>
    <d v="2021-07-05T00:00:00"/>
    <s v="31/10"/>
    <s v="06:00 10:00 11:10 14:30"/>
    <n v="40172880"/>
    <s v="ROMUARIO BARBOSA DE OLIVEIRA"/>
    <s v="FRANCISCA.LIMA@pepsico.com"/>
    <s v="A"/>
  </r>
  <r>
    <s v="Total Operacoes"/>
    <s v="Manufatura Nutrition"/>
    <n v="80106396"/>
    <s v="RODOLFO APARECIDO SANTOS MACHADO"/>
    <s v="Fábrica Feira de Santana"/>
    <n v="1968"/>
    <x v="9"/>
    <s v="P50971303"/>
    <n v="20009"/>
    <s v="FÁBRICA FEIRA DE SANTANA"/>
    <s v="BR1A003"/>
    <x v="12"/>
    <d v="2018-03-12T00:00:00"/>
    <s v="1/7"/>
    <s v="08:00 12:00 13:00 17:00"/>
    <n v="40189992"/>
    <s v="GLAUBER AUGUSTO DE CARVALHO LUIZ"/>
    <s v="rodolfo.machado@pepsico.com"/>
    <s v="A"/>
  </r>
  <r>
    <s v="Total Operacoes"/>
    <s v="Manufatura Nutrition"/>
    <n v="81218214"/>
    <s v="EDUARDO DE ALMEIDA SILVA"/>
    <s v="Fábrica Feira de Santana"/>
    <n v="1962"/>
    <x v="14"/>
    <s v="P50931877"/>
    <n v="20009"/>
    <s v="FÁBRICA FEIRA DE SANTANA"/>
    <s v="BR1A004"/>
    <x v="13"/>
    <d v="2025-05-12T00:00:00"/>
    <s v="4/9"/>
    <s v="06:00 10:00 11:10 14:30"/>
    <n v="81223120"/>
    <s v="LEONARDO DA SILVA SANTOS"/>
    <s v="Eduardo.Silva2@pepsico.com"/>
    <s v="A"/>
  </r>
  <r>
    <s v="Total Operacoes"/>
    <s v="Manufatura Nutrition"/>
    <n v="40175810"/>
    <s v="REGINALDO CERQUEIRA SANTIAGO"/>
    <s v="Fábrica Feira de Santana"/>
    <n v="1943"/>
    <x v="15"/>
    <s v="P50448573"/>
    <n v="20009"/>
    <s v="FÁBRICA FEIRA DE SANTANA"/>
    <s v="BR1A004"/>
    <x v="13"/>
    <d v="2011-08-01T00:00:00"/>
    <s v="9/11"/>
    <s v="14:20 18:00 19:10 22:45"/>
    <n v="81223120"/>
    <s v="LEONARDO DA SILVA SANTOS"/>
    <s v="reginaldo.santiago@pepsico.com"/>
    <s v="A"/>
  </r>
  <r>
    <s v="Total Operacoes"/>
    <s v="Manufatura Nutrition"/>
    <n v="40221612"/>
    <s v="IVANILDO FERREIRA DOS SANTOS NASCIMENTO"/>
    <s v="Fábrica Feira de Santana"/>
    <n v="5088"/>
    <x v="16"/>
    <s v="P50764039"/>
    <n v="20009"/>
    <s v="FÁBRICA FEIRA DE SANTANA"/>
    <s v="BR1A004"/>
    <x v="13"/>
    <d v="2013-10-14T00:00:00"/>
    <s v="28/9"/>
    <s v="14:20 18:00 19:10 22:45"/>
    <n v="81223120"/>
    <s v="LEONARDO DA SILVA SANTOS"/>
    <s v="ivanildo.santos@pepsico.com"/>
    <s v="A"/>
  </r>
  <r>
    <s v="Total Operacoes"/>
    <s v="Manufatura Nutrition"/>
    <n v="40172746"/>
    <s v="ANDERSON DE JESUS AMARAL"/>
    <s v="Fábrica Feira de Santana"/>
    <n v="1971"/>
    <x v="17"/>
    <s v="P50914431"/>
    <n v="20009"/>
    <s v="FÁBRICA FEIRA DE SANTANA"/>
    <s v="BR1A004"/>
    <x v="13"/>
    <d v="2011-05-02T00:00:00"/>
    <s v="6/11"/>
    <s v="07:30 12:00 13:00 17:18"/>
    <n v="81223120"/>
    <s v="LEONARDO DA SILVA SANTOS"/>
    <s v="anderson.amaral@pepsico.com"/>
    <s v="A"/>
  </r>
  <r>
    <s v="Total Operacoes"/>
    <s v="Manufatura Nutrition"/>
    <n v="40177292"/>
    <s v="ADRIANO DE ARAUJO INVENCAO"/>
    <s v="Fábrica Feira de Santana"/>
    <n v="1943"/>
    <x v="15"/>
    <s v="P50610632"/>
    <n v="20009"/>
    <s v="FÁBRICA FEIRA DE SANTANA"/>
    <s v="BR1A004"/>
    <x v="13"/>
    <d v="2011-08-01T00:00:00"/>
    <s v="1/3"/>
    <s v="06:00 10:00 11:10 14:30"/>
    <n v="81223120"/>
    <s v="LEONARDO DA SILVA SANTOS"/>
    <s v="adriano.invencao@pepsico.com"/>
    <s v="LOA até 6M"/>
  </r>
  <r>
    <s v="Total Operacoes"/>
    <s v="Manufatura Nutrition"/>
    <n v="80258585"/>
    <s v="ECIO CONCEICAO DOS REIS"/>
    <s v="Fábrica Feira de Santana"/>
    <n v="1953"/>
    <x v="18"/>
    <s v="P50863248"/>
    <n v="20009"/>
    <s v="FÁBRICA FEIRA DE SANTANA"/>
    <s v="BR1A004"/>
    <x v="13"/>
    <d v="2020-06-15T00:00:00"/>
    <s v="19/9"/>
    <s v="22:35 01:00 02:10 06:10"/>
    <n v="81223120"/>
    <s v="LEONARDO DA SILVA SANTOS"/>
    <s v="ecio.reis@pepsico.com"/>
    <s v="A"/>
  </r>
  <r>
    <s v="Total Operacoes"/>
    <s v="Manufatura Nutrition"/>
    <n v="80872720"/>
    <s v="JADSON DE JESUS SANTANA"/>
    <s v="Fábrica Feira de Santana"/>
    <n v="1962"/>
    <x v="14"/>
    <s v="P50928324"/>
    <n v="20009"/>
    <s v="FÁBRICA FEIRA DE SANTANA"/>
    <s v="BR1A004"/>
    <x v="13"/>
    <d v="2021-09-20T00:00:00"/>
    <s v="28/5"/>
    <s v="22:35 01:00 02:10 06:10"/>
    <n v="81223120"/>
    <s v="LEONARDO DA SILVA SANTOS"/>
    <s v="JADSON.SANTANA@pepsico.com"/>
    <s v="A"/>
  </r>
  <r>
    <s v="Total Operacoes"/>
    <s v="Manufatura Nutrition"/>
    <n v="81130135"/>
    <s v="WASHINGTON DE JESUS ALMEIDA"/>
    <s v="Fábrica Feira de Santana"/>
    <n v="1943"/>
    <x v="15"/>
    <s v="P50776033"/>
    <n v="20009"/>
    <s v="FÁBRICA FEIRA DE SANTANA"/>
    <s v="BR1A004"/>
    <x v="13"/>
    <d v="2024-03-04T00:00:00"/>
    <s v="14/7"/>
    <s v="06:00 10:00 11:10 14:30"/>
    <n v="81223120"/>
    <s v="LEONARDO DA SILVA SANTOS"/>
    <s v="WASHINGTONDEJESUS.ALMEIDA@pepsico.com"/>
    <s v="A"/>
  </r>
  <r>
    <s v="Total Operacoes"/>
    <s v="Manufatura Nutrition"/>
    <n v="81193221"/>
    <s v="GEAN CLEBERSON MOTA DA FONSECA"/>
    <s v="Fábrica Feira de Santana"/>
    <n v="1953"/>
    <x v="18"/>
    <s v="P50448592"/>
    <n v="20009"/>
    <s v="FÁBRICA FEIRA DE SANTANA"/>
    <s v="BR1A004"/>
    <x v="13"/>
    <d v="2025-01-06T00:00:00"/>
    <s v="23/11"/>
    <s v="22:35 01:00 02:10 06:10"/>
    <n v="81223120"/>
    <s v="LEONARDO DA SILVA SANTOS"/>
    <s v="Gean.Fonseca@pepsico.com"/>
    <s v="A"/>
  </r>
  <r>
    <s v="Total Operacoes"/>
    <s v="Manufatura Nutrition"/>
    <n v="81194238"/>
    <s v="ELNATA ESTRELA DA SILVA"/>
    <s v="Fábrica Feira de Santana"/>
    <n v="1953"/>
    <x v="18"/>
    <s v="P50633402"/>
    <n v="20009"/>
    <s v="FÁBRICA FEIRA DE SANTANA"/>
    <s v="BR1A004"/>
    <x v="13"/>
    <d v="2025-01-13T00:00:00"/>
    <s v="3/9"/>
    <s v="06:00 10:00 11:10 14:30"/>
    <n v="81223120"/>
    <s v="LEONARDO DA SILVA SANTOS"/>
    <s v="Elnata.Estrela@pepsico.com"/>
    <s v="A"/>
  </r>
  <r>
    <s v="Total Operacoes"/>
    <s v="Manufatura Nutrition"/>
    <n v="81211221"/>
    <s v="UESLEI CAZAIS SANTOS"/>
    <s v="Fábrica Feira de Santana"/>
    <n v="2133"/>
    <x v="19"/>
    <s v="P50914448"/>
    <n v="20009"/>
    <s v="FÁBRICA FEIRA DE SANTANA"/>
    <s v="BR1A004"/>
    <x v="13"/>
    <d v="2025-04-07T00:00:00"/>
    <s v="30/9"/>
    <s v="07:30 12:00 13:00 17:18"/>
    <n v="81224859"/>
    <s v="ROGERIO BARROS DA SILVA NETO"/>
    <s v="UESLEI.CAZAISSANTOS@pepsico.com"/>
    <s v="A"/>
  </r>
  <r>
    <s v="Total Operacoes"/>
    <s v="Manufatura Nutrition"/>
    <n v="81217372"/>
    <s v="WALTER CARIBE RIBEIRO DA SILVA"/>
    <s v="Fábrica Feira de Santana"/>
    <n v="1953"/>
    <x v="18"/>
    <s v="P50928390"/>
    <n v="20009"/>
    <s v="FÁBRICA FEIRA DE SANTANA"/>
    <s v="BR1A004"/>
    <x v="13"/>
    <d v="2025-05-05T00:00:00"/>
    <s v="30/11"/>
    <s v="14:20 18:00 19:10 22:45"/>
    <n v="81223120"/>
    <s v="LEONARDO DA SILVA SANTOS"/>
    <s v="WALTER.CARIBERIBEIRODASILVA@pepsico.com"/>
    <s v="A"/>
  </r>
  <r>
    <s v="Total Operacoes"/>
    <s v="Manufatura Nutrition"/>
    <n v="81223120"/>
    <s v="LEONARDO DA SILVA SANTOS"/>
    <s v="Fábrica Feira de Santana"/>
    <n v="1952"/>
    <x v="20"/>
    <s v="P50926620"/>
    <n v="20009"/>
    <s v="FÁBRICA FEIRA DE SANTANA"/>
    <s v="BR1A004"/>
    <x v="13"/>
    <d v="2025-06-09T00:00:00"/>
    <s v="30/9"/>
    <s v="08:00 12:00 13:00 17:00"/>
    <n v="80106396"/>
    <s v="RODOLFO APARECIDO SANTOS MACHADO"/>
    <s v="LEONARDO.DASILVASANTOS@pepsico.com"/>
    <s v="A"/>
  </r>
  <r>
    <s v="Total Operacoes"/>
    <s v="Manufatura Nutrition"/>
    <n v="81226437"/>
    <s v="CLAUDIO HENRIQUE QUEIROZ ALVES"/>
    <s v="Fábrica Feira de Santana"/>
    <n v="1953"/>
    <x v="18"/>
    <s v="P50935484"/>
    <n v="20009"/>
    <s v="FÁBRICA FEIRA DE SANTANA"/>
    <s v="BR1A004"/>
    <x v="13"/>
    <d v="2025-07-07T00:00:00"/>
    <s v="17/1"/>
    <s v="07:30 12:00 13:00 17:18"/>
    <n v="81211221"/>
    <s v="UESLEI CAZAIS SANTOS"/>
    <s v="CLAUDIO.QUEIROZALVES@pepsico.com"/>
    <s v="A"/>
  </r>
  <r>
    <s v="Total Operacoes"/>
    <s v="Manufatura Nutrition"/>
    <n v="81251042"/>
    <s v="JOACI SANTOS DA SILVA"/>
    <s v="Fábrica Feira de Santana"/>
    <n v="1953"/>
    <x v="18"/>
    <s v="P51014146"/>
    <n v="20009"/>
    <s v="FÁBRICA FEIRA DE SANTANA"/>
    <s v="BR1A004"/>
    <x v="13"/>
    <d v="2026-01-05T00:00:00"/>
    <s v="23/5"/>
    <s v="07:30 12:00 13:00 17:18"/>
    <n v="81223120"/>
    <s v="LEONARDO DA SILVA SANTOS"/>
    <s v="Joaci.Silva@pepsico.com"/>
    <s v="A"/>
  </r>
  <r>
    <s v="Total Operacoes"/>
    <s v="Manufatura Nutrition"/>
    <n v="81252021"/>
    <s v="DIOGO SILVA DIAS DE ARAUJO"/>
    <s v="Fábrica Feira de Santana"/>
    <n v="1953"/>
    <x v="18"/>
    <s v="P50473632"/>
    <n v="20009"/>
    <s v="FÁBRICA FEIRA DE SANTANA"/>
    <s v="BR1A004"/>
    <x v="13"/>
    <d v="2026-01-05T00:00:00"/>
    <s v="27/9"/>
    <s v="06:00 10:00 11:10 14:30"/>
    <n v="81223120"/>
    <s v="LEONARDO DA SILVA SANTOS"/>
    <s v="Diogo.Silva2@pepsico.com"/>
    <s v="A"/>
  </r>
  <r>
    <s v="Total Operacoes"/>
    <s v="Manufatura Nutrition"/>
    <n v="81181365"/>
    <s v="RONALT DE SOUZA SIMAS"/>
    <s v="Fábrica Feira de Santana"/>
    <n v="2241"/>
    <x v="21"/>
    <s v="-"/>
    <n v="20009"/>
    <s v="FÁBRICA FEIRA DE SANTANA"/>
    <s v="BR1A004"/>
    <x v="13"/>
    <d v="2024-10-14T00:00:00"/>
    <s v="19/2"/>
    <s v="07:30 12:00 13:00 17:18"/>
    <n v="81223120"/>
    <s v="LEONARDO DA SILVA SANTOS"/>
    <s v="RONALT.DESOUZASIMAS@pepsico.com"/>
    <s v="D"/>
  </r>
  <r>
    <s v="Total Operacoes"/>
    <s v="Qualidade"/>
    <n v="80107261"/>
    <s v="VINICIUS SOUZA CORDEIRO"/>
    <s v="Fábrica Feira de Santana"/>
    <n v="4954"/>
    <x v="22"/>
    <s v="P50840844"/>
    <n v="20009"/>
    <s v="FÁBRICA FEIRA DE SANTANA"/>
    <s v="BR2A174"/>
    <x v="14"/>
    <d v="2018-03-19T00:00:00"/>
    <s v="2/12"/>
    <s v="07:30 12:00 13:00 17:18"/>
    <n v="20221903"/>
    <s v="FABIO LUIS GROFF"/>
    <s v="vinicius.cordeiro@pepsico.com"/>
    <s v="A"/>
  </r>
  <r>
    <s v="Total Operacoes"/>
    <s v="Manufatura"/>
    <n v="80038367"/>
    <s v="ANAILDE CRUZ ATAIDE CARVALHO"/>
    <s v="Fábrica Feira de Santana"/>
    <n v="435"/>
    <x v="23"/>
    <s v="P50680383"/>
    <n v="20009"/>
    <s v="FÁBRICA FEIRA DE SANTANA"/>
    <s v="BR5A003"/>
    <x v="15"/>
    <d v="2017-01-02T00:00:00"/>
    <s v="25/4"/>
    <s v="07:30 12:00 13:00 17:18"/>
    <n v="40101630"/>
    <s v="MICHEL FIGUEIROA MORAIS"/>
    <s v="anailde.cruzataide@pepsico.com"/>
    <s v="A"/>
  </r>
  <r>
    <s v="Total Operacoes"/>
    <s v="Manufatura"/>
    <n v="80304771"/>
    <s v="KATARYNNA SANTOS DE ARAUJO"/>
    <s v="Fábrica Feira de Santana"/>
    <n v="2193"/>
    <x v="24"/>
    <s v="P50569559"/>
    <n v="20009"/>
    <s v="FÁBRICA FEIRA DE SANTANA"/>
    <s v="BR1A054"/>
    <x v="16"/>
    <d v="2020-12-14T00:00:00"/>
    <s v="30/7"/>
    <s v="07:30 12:00 13:00 17:18"/>
    <n v="40050609"/>
    <s v="ROSIMAYRE DA SILVA SOUSA"/>
    <s v="katarynna.araujo@pepsico.com"/>
    <s v="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s v="SIM"/>
    <s v="INSERIR SETOR"/>
    <x v="0"/>
    <s v="1T - ROTA/5"/>
    <s v="1T"/>
    <s v="ROTA/5"/>
    <s v="ACACIO. C"/>
    <s v="ACACIO LUIZ LIMA CORREIA"/>
    <x v="0"/>
    <s v="BR1A294"/>
    <d v="2012-07-12T00:00:00"/>
    <s v="R. FELIX PACHECO, 259, PANORAMA, FEIRA DE SANTANA, BAHIA, BRASIL"/>
    <s v="R. FELIX PACHECO"/>
    <n v="259"/>
    <s v="PANORAMA"/>
    <s v="FEIRA DE SANTANA"/>
    <s v="R. FELIX PACHECO N° 259 - RUA EM FRENTE AO PORTAL DESCARGA DE G BARBOSA"/>
    <s v="RUA EM FRENTE AO PORTAL DESCARGA DE G BARBOSA"/>
    <m/>
    <m/>
  </r>
  <r>
    <s v="SIM"/>
    <s v="INSERIR SETOR"/>
    <x v="1"/>
    <s v="1T - ROTA/6"/>
    <s v="1T"/>
    <s v="ROTA/6"/>
    <s v="ADEMILDES"/>
    <s v="ADEMILDES DA CONCEICAO"/>
    <x v="0"/>
    <s v="BR1A009"/>
    <d v="2014-10-13T00:00:00"/>
    <s v="RUA RIO VERDE, 55, CONCEIÇÃO II, FEIRA DE SANTANA, BAHIA, BRASIL"/>
    <s v="RUA RIO VERDE"/>
    <n v="55"/>
    <s v="CONCEIÇÃO II"/>
    <s v="FEIRA DE SANTANA"/>
    <s v="RUA RIO VERDE 55 - EM FRENTE AO SALÃO NINA CABELELEIRO"/>
    <s v="EM FRENTE AO SALÃO NINA CABELELEIRO"/>
    <m/>
    <m/>
  </r>
  <r>
    <s v="SIM"/>
    <s v="INSERIR SETOR"/>
    <x v="2"/>
    <s v="2T - ROTA/1"/>
    <s v="2T"/>
    <s v="ROTA/1"/>
    <s v="ADRIANO. F"/>
    <s v="ADRIANO MACHADO FERREIRA"/>
    <x v="0"/>
    <s v="BR1A312"/>
    <d v="2022-11-07T00:00:00"/>
    <s v="RUA AMADO BAHIA, N/A, PANORAMA, FEIRA DE SANTANA, BAHIA, BRASIL"/>
    <s v="RUA AMADO BAHIA"/>
    <s v="N/A"/>
    <s v="PANORAMA"/>
    <s v="FEIRA DE SANTANA"/>
    <s v="RUA AMADO BAHIA EM FRENTE A IGREJA DAS TESTEMUNHAS DE JEOVÁ"/>
    <s v="IGREJA DAS TESTEMUNHAS DE JEOVÁ"/>
    <m/>
    <m/>
  </r>
  <r>
    <s v="SIM"/>
    <s v="INSERIR SETOR"/>
    <x v="3"/>
    <s v="3T - ROTA/1"/>
    <s v="3T"/>
    <s v="ROTA/1"/>
    <s v="Adriano. M"/>
    <s v="ADRIANO DOS SANTOS MORAIS"/>
    <x v="0"/>
    <s v="BR1A312"/>
    <d v="2022-11-07T00:00:00"/>
    <s v="ESCOLA TEREZA CUNHA , N/A, CALUMBI, FEIRA DE SANTANA, BAHIA, BRASIL"/>
    <s v="ESCOLA TEREZA CUNHA "/>
    <s v="N/A"/>
    <s v="CALUMBI"/>
    <s v="FEIRA DE SANTANA"/>
    <s v="Ao lado da Escola Tereza Cunha"/>
    <s v="Ao lado da Escola Tereza Cunha"/>
    <m/>
    <m/>
  </r>
  <r>
    <s v="SIM"/>
    <s v="INSERIR SETOR"/>
    <x v="4"/>
    <s v="ADM - ROTA/8"/>
    <s v="ADM"/>
    <s v="ROTA/8"/>
    <s v="ALCIDES J"/>
    <s v="ALCIDES BARBOSA DE SOUSA JUNIOR"/>
    <x v="0"/>
    <s v="BR1A294"/>
    <d v="2021-02-15T00:00:00"/>
    <s v="RUA B, 41, AVIARIO, FEIRA DE SANTANA, BAHIA, BRASIL"/>
    <s v="RUA B"/>
    <n v="41"/>
    <s v="AVIARIO"/>
    <s v="FEIRA DE SANTANA"/>
    <s v="RUA B N°41 PONTO DE APANHA EM FRENTE A IGREJA CATOLICA"/>
    <s v="IGREJA CATOLICA"/>
    <m/>
    <m/>
  </r>
  <r>
    <s v="SIM"/>
    <s v="INSERIR SETOR"/>
    <x v="5"/>
    <s v="1T - ROTA/3"/>
    <s v="1T"/>
    <s v="ROTA/3"/>
    <s v="ALEXANDRE. J"/>
    <s v="ALEXANDRE SOUZA DE JESUS"/>
    <x v="0"/>
    <s v="BR1A294"/>
    <d v="2017-07-17T00:00:00"/>
    <s v="RUA TUIUCA, N/A, JOÃO PAULO, FEIRA DE SANTANA, BAHIA, BRASIL"/>
    <s v="RUA TUIUCA"/>
    <s v="N/A"/>
    <s v="JOÃO PAULO"/>
    <s v="FEIRA DE SANTANA"/>
    <s v="RUA TIJUCA - EM FRENTE A PIZZARIA LAPETITOSA"/>
    <s v="EM FRENTE A PIZZARIA LAPETITOSA"/>
    <m/>
    <m/>
  </r>
  <r>
    <s v="SIM"/>
    <s v="LIMGER"/>
    <x v="6"/>
    <s v="1T - ROTA/4"/>
    <s v="1T"/>
    <s v="ROTA/4"/>
    <s v="ANA PAULA DA S."/>
    <s v="ANA PAULA DA SILVA BRITO"/>
    <x v="1"/>
    <s v="BR4A006"/>
    <d v="2025-01-08T00:00:00"/>
    <s v="RUA MANTIQUEIRA, 455, RUA NOVA, FEIRA DE SANTANA, BAHIA, BRASIL"/>
    <s v="RUA MANTIQUEIRA"/>
    <n v="455"/>
    <s v="RUA NOVA"/>
    <s v="FEIRA DE SANTANA"/>
    <s v="RUA MANTIQUEIRA, 455, PROX. AO CRAS"/>
    <s v="PROX. AO CRAS"/>
    <m/>
    <m/>
  </r>
  <r>
    <s v="SIM"/>
    <s v="INSERIR SETOR"/>
    <x v="7"/>
    <s v="ADM - ROTA/1"/>
    <s v="ADM"/>
    <s v="ROTA/1"/>
    <s v="ANAILDE. C"/>
    <s v="ANAILDE CRUZ ATAIDE CARVALHO"/>
    <x v="0"/>
    <s v="BR5A003"/>
    <d v="2017-01-02T00:00:00"/>
    <s v="Avenida Artêmia Pires, 8147, Sim, FEIRA DE SANTANA, BAHIA, BRASIL"/>
    <s v="Avenida Artêmia Pires"/>
    <n v="8147"/>
    <s v="Sim"/>
    <s v="FEIRA DE SANTANA"/>
    <s v="COND. PARQUE FLORA"/>
    <s v="COND. PARQUE FLORA"/>
    <m/>
    <m/>
  </r>
  <r>
    <s v="SIM"/>
    <s v="INSERIR SETOR"/>
    <x v="8"/>
    <s v="ADM - ROTA/4"/>
    <s v="ADM"/>
    <s v="ROTA/4"/>
    <s v="ANDERSON A."/>
    <s v="ANDERSON DE JESUS AMARAL"/>
    <x v="0"/>
    <s v="BR1A004"/>
    <d v="2011-05-02T00:00:00"/>
    <s v="RUA SENADOR QUINTINO, N/A, SERRARIA BRASIL, FEIRA DE SANTANA, BAHIA, BRASIL"/>
    <s v="RUA SENADOR QUINTINO"/>
    <s v="N/A"/>
    <s v="SERRARIA BRASIL"/>
    <s v="FEIRA DE SANTANA"/>
    <s v="RUA SENADOR QUINTINO"/>
    <s v="PRAÇA DA PAQUERA"/>
    <m/>
    <m/>
  </r>
  <r>
    <s v="SIM"/>
    <s v="INSERIR SETOR"/>
    <x v="9"/>
    <s v="2T - ROTA/2"/>
    <s v="2T"/>
    <s v="ROTA/2"/>
    <s v="ANDERSON. V"/>
    <s v="ANDERSON FELIPE VENTURA DA SILVA"/>
    <x v="0"/>
    <s v="BR1A002"/>
    <d v="2023-01-02T00:00:00"/>
    <s v="RUA VITORINO FREIRE, 822, MANGABEIRA, FEIRA DE SANTANA, BAHIA, BRASIL"/>
    <s v="RUA VITORINO FREIRE"/>
    <n v="822"/>
    <s v="MANGABEIRA"/>
    <s v="FEIRA DE SANTANA"/>
    <s v="RUA VITORINO FREIRE, Nº 822 EM FRENTE AO COND: BERGAMO"/>
    <s v="COND: BERGAMO"/>
    <m/>
    <m/>
  </r>
  <r>
    <s v="SIM"/>
    <s v="INSERIR SETOR"/>
    <x v="10"/>
    <s v="2T - ROTA/3"/>
    <s v="2T"/>
    <s v="ROTA/3"/>
    <s v="ATAIDE. M"/>
    <s v="ATAIDE DE MATOS SANTANA"/>
    <x v="0"/>
    <s v="BR1A312"/>
    <d v="2017-07-17T00:00:00"/>
    <s v="AV. SANTO ANDRE, N/A, CASEB, FEIRA DE SANTANA, BAHIA, BRASIL"/>
    <s v="AV. SANTO ANDRE"/>
    <s v="N/A"/>
    <s v="CASEB"/>
    <s v="FEIRA DE SANTANA"/>
    <s v="AV. SANTO ANDRE EM FRENTE AO COND: DOM RESIDENCIAL"/>
    <s v="COND: DOM RESIDENCIAL"/>
    <m/>
    <m/>
  </r>
  <r>
    <s v="SIM"/>
    <s v="LIMGER"/>
    <x v="6"/>
    <s v="1T - ROTA/8"/>
    <s v="1T"/>
    <s v="ROTA/8"/>
    <s v="CARLOS ALBERTO G."/>
    <s v="CARLOS ALBERTO GONÇALVES QUEIROZ"/>
    <x v="1"/>
    <s v="BR4A006"/>
    <d v="2025-01-08T00:00:00"/>
    <s v="RUA DIVAL MACHADO, 18, GABRIELA, FEIRA DE SANTANA, BAHIA, BRASIL"/>
    <s v="RUA DIVAL MACHADO"/>
    <n v="18"/>
    <s v="GABRIELA"/>
    <s v="FEIRA DE SANTANA"/>
    <s v="RUA DIVAL MACHADO, N° 18"/>
    <s v="RUA DIVAL MACHADO, N° 18"/>
    <m/>
    <m/>
  </r>
  <r>
    <s v="SIM"/>
    <s v="LIMGER"/>
    <x v="6"/>
    <s v="ADM - ROTA/5"/>
    <s v="ADM"/>
    <s v="ROTA/5"/>
    <s v="CARLOS ANTONIO G."/>
    <s v="CARLOS ANTONIO GONÇALVES QUEIROZ"/>
    <x v="1"/>
    <s v="BR4A006"/>
    <d v="2025-01-08T00:00:00"/>
    <s v="RUA DIVAL MACHADO, 18, GABRIELA, FEIRA DE SANTANA, BAHIA, BRASIL"/>
    <s v="RUA DIVAL MACHADO"/>
    <n v="18"/>
    <s v="GABRIELA"/>
    <s v="FEIRA DE SANTANA"/>
    <s v="RUA DIVAL MACHADO"/>
    <m/>
    <m/>
    <m/>
  </r>
  <r>
    <s v="SIM"/>
    <s v="LIMGER"/>
    <x v="6"/>
    <s v="2T - ROTA/1"/>
    <s v="2T"/>
    <s v="ROTA/1"/>
    <s v="CLAUDIA MARIA Q."/>
    <s v="CLAUDIA MARIA QUEIROZ"/>
    <x v="1"/>
    <s v="BR4A006"/>
    <d v="2025-01-08T00:00:00"/>
    <s v="RUA EL SALVADOR, 38, FEIRA VII, FEIRA DE SANTANA, BAHIA, BRASIL"/>
    <s v="RUA EL SALVADOR"/>
    <n v="38"/>
    <s v="FEIRA VII"/>
    <s v="FEIRA DE SANTANA"/>
    <s v="RUA EL SALVADOR, Nº 38 - CENTRO AUTOMOTIVO ANDERSON CAR"/>
    <s v="CENTRO AUTOMOTIVO ANDERSON CAR"/>
    <m/>
    <m/>
  </r>
  <r>
    <s v="SIM"/>
    <s v="CWBEM"/>
    <x v="6"/>
    <s v="ADM - ROTA/2"/>
    <s v="ADM"/>
    <s v="ROTA/2"/>
    <s v="CLAUDIO H."/>
    <s v="CLAUDIO HENRIQUE LIVEIRA SANTOS"/>
    <x v="2"/>
    <s v="BR5A008"/>
    <d v="2023-01-10T00:00:00"/>
    <s v="Avenida Gracindo de Freitas Medeiros , N/A, MANGABEIRA, FEIRA DE SANTANA, BAHIA, BRASIL"/>
    <s v="Avenida Gracindo de Freitas Medeiros "/>
    <s v="N/A"/>
    <s v="MANGABEIRA"/>
    <s v="FEIRA DE SANTANA"/>
    <s v="COND. RESIDENCIAL FONTANA"/>
    <s v="COND. RESIDENCIAL FONTANA"/>
    <m/>
    <m/>
  </r>
  <r>
    <s v="SIM"/>
    <s v="INSERIR SETOR"/>
    <x v="11"/>
    <s v="ADM - ROTA/3"/>
    <s v="ADM"/>
    <s v="ROTA/3"/>
    <s v="CLAUDIO R. Q. A."/>
    <s v="CLAUDIO HENRIQUE QUEIROZ ALVES"/>
    <x v="0"/>
    <s v="BR1A004"/>
    <d v="2025-07-07T00:00:00"/>
    <s v="RUA LEÔCIO SANTOS, 115, SANTA MÔNICA, FEIRA DE SANTANA, BAHIA, BRASIL"/>
    <s v="RUA LEÔCIO SANTOS"/>
    <n v="115"/>
    <s v="SANTA MÔNICA"/>
    <s v="FEIRA DE SANTANA"/>
    <s v="RUA ATRÁS DA SEABRA HOTEL"/>
    <s v="ATRÁS DA SEABRA HOTELL"/>
    <m/>
    <m/>
  </r>
  <r>
    <s v="SIM"/>
    <s v="INSERIR SETOR"/>
    <x v="12"/>
    <s v="2T - ROTA/1"/>
    <s v="2T"/>
    <s v="ROTA/1"/>
    <s v="CLAUDIONOR. C"/>
    <s v="CLAUDIONOR CERQUEIRA DA COSTA"/>
    <x v="0"/>
    <s v="BR1A007"/>
    <d v="2021-11-16T00:00:00"/>
    <s v="RUA DO TELEGRAFO, N/A, FRATERNIDADE, FEIRA DE SANTANA, BAHIA, BRASIL"/>
    <s v="RUA DO TELEGRAFO"/>
    <s v="N/A"/>
    <s v="FRATERNIDADE"/>
    <s v="FEIRA DE SANTANA"/>
    <s v="RUA DO TELEGRAFO, PONTO DE APANHA EM FRENTE A IGREJA QUADRANGULAR"/>
    <s v="IGREJA QUADRANGULAR"/>
    <m/>
    <m/>
  </r>
  <r>
    <s v="SIM"/>
    <s v="INSERIR SETOR"/>
    <x v="13"/>
    <s v="1T - ROTA/10"/>
    <s v="1T"/>
    <s v="ROTA/10"/>
    <s v="CLEIDIANE. L"/>
    <s v="CLEIDIANE DE OLIVEIRA LIMA"/>
    <x v="0"/>
    <s v="BR1A010"/>
    <d v="2022-11-07T00:00:00"/>
    <s v="RUA CORRENTES, 68, CAMPO LIMPO, FEIRA DE SANTANA, BAHIA, BRASIL"/>
    <s v="RUA CORRENTES"/>
    <n v="68"/>
    <s v="CAMPO LIMPO"/>
    <s v="FEIRA DE SANTANA"/>
    <s v="RUA CORRENTES, Nº 68, EM FRENTE A MERCEARIA VIDEIRA"/>
    <s v="EM FRENTE A MERCEARIA VIDEIRA"/>
    <m/>
    <m/>
  </r>
  <r>
    <s v="SIM"/>
    <s v="CWBEM"/>
    <x v="6"/>
    <s v="1T - ROTA/6"/>
    <s v="1T"/>
    <s v="ROTA/6"/>
    <s v="CRIS KELLY"/>
    <s v="CRIS KELLY PEREIRA DA COSTA"/>
    <x v="2"/>
    <s v="BR5A008"/>
    <d v="2025-07-31T00:00:00"/>
    <s v="RUA MARAÚ, 230, SANTO ANTÔNIO DOS PRAZERES, FEIRA DE SANTANA, BAHIA, BRASIL"/>
    <s v="RUA MARAÚ"/>
    <n v="230"/>
    <s v="SANTO ANTÔNIO DOS PRAZERES"/>
    <s v="FEIRA DE SANTANA"/>
    <s v="RUA MARAÚ, Nº 230 - PROX. AO PASTEL DO GALEGO"/>
    <s v="PROX. AO PASTEL DO GALEGO"/>
    <m/>
    <m/>
  </r>
  <r>
    <s v="SIM"/>
    <s v="INSERIR SETOR"/>
    <x v="14"/>
    <s v="1T - ROTA/3"/>
    <s v="1T"/>
    <s v="ROTA/3"/>
    <s v="CRISTIANE. A"/>
    <s v="CRISTIANE SANTOS DE OLIVEIRA ARAUJO"/>
    <x v="0"/>
    <s v="BR1A312"/>
    <d v="2013-06-10T00:00:00"/>
    <s v="RUA PERIPERI, N/A, QUEIMADINHA, FEIRA DE SANTANA, BAHIA, BRASIL"/>
    <s v="RUA PERIPERI"/>
    <s v="N/A"/>
    <s v="QUEIMADINHA"/>
    <s v="FEIRA DE SANTANA"/>
    <s v="RUA PERIPERI - PROX A ESCOLA DASIS"/>
    <s v="PROX A ESCOLA DASIS"/>
    <m/>
    <m/>
  </r>
  <r>
    <s v="SIM"/>
    <s v="INSERIR SETOR"/>
    <x v="15"/>
    <s v="3T - ROTA/1"/>
    <s v="3T"/>
    <s v="ROTA/1"/>
    <s v="Dacio M"/>
    <s v="DACIO DA CONCEICAO MACHADO"/>
    <x v="0"/>
    <s v="BR1A294"/>
    <d v="2023-08-14T00:00:00"/>
    <s v="Rua Para, 320, QUEIMADINHA, FEIRA DE SANTANA, BAHIA, BRASIL"/>
    <s v="Rua Para"/>
    <n v="320"/>
    <s v="QUEIMADINHA"/>
    <s v="FEIRA DE SANTANA"/>
    <s v="Rua Para, N° 320"/>
    <m/>
    <m/>
    <m/>
  </r>
  <r>
    <s v="SIM"/>
    <s v="INSERIR SETOR"/>
    <x v="16"/>
    <s v="2T - ROTA/4"/>
    <s v="2T"/>
    <s v="ROTA/4"/>
    <s v="DAIANE. R"/>
    <s v="DAIANE DE OLIVEIRA RODRIGUES"/>
    <x v="0"/>
    <s v="BR1A312"/>
    <d v="2022-03-02T00:00:00"/>
    <s v="RUA BREVES, 33, LIMOEIRO, LIMOEIRO, BAHIA, BRASIL"/>
    <s v="RUA BREVES"/>
    <n v="33"/>
    <s v="LIMOEIRO"/>
    <s v="LIMOEIRO"/>
    <s v="RUA BREVES, Nº 33, PONTO DE APANHA EM FRENTE A FÁBRICA DE VELAS"/>
    <s v="FÁBRICA DE VELAS"/>
    <m/>
    <m/>
  </r>
  <r>
    <s v="SIM"/>
    <s v="INSERIR SETOR"/>
    <x v="17"/>
    <s v="ADM - ROTA/1"/>
    <s v="ADM"/>
    <s v="ROTA/1"/>
    <s v="DAIANE X."/>
    <s v="DAIANE SILVA XAVIER"/>
    <x v="0"/>
    <s v="BR1A002"/>
    <d v="2018-12-17T00:00:00"/>
    <s v="RUA CAMBORIÚ, 50, Sim, FEIRA DE SANTANA, BAHIA, BRASIL"/>
    <s v="RUA CAMBORIÚ"/>
    <n v="50"/>
    <s v="Sim"/>
    <s v="FEIRA DE SANTANA"/>
    <s v="LOCAL DE APANHA EM FRENTE A CAOA CHERY"/>
    <s v="EM FRENTE A CAOA CHERY"/>
    <m/>
    <m/>
  </r>
  <r>
    <s v="SIM"/>
    <s v="INSERIR SETOR"/>
    <x v="18"/>
    <s v="2T - ROTA/3"/>
    <s v="2T"/>
    <s v="ROTA/3"/>
    <s v="DERALDO S."/>
    <s v="DERALDO DOS SANTOS JUNIOR"/>
    <x v="0"/>
    <s v="BR1A312"/>
    <d v="2024-05-13T00:00:00"/>
    <s v="RUA CARLOS LADARES, 1058, QUEIMADINHA, FEIRA DE SANTANA, BAHIA, BRASIL"/>
    <s v="RUA CARLOS LADARES"/>
    <n v="1058"/>
    <s v="QUEIMADINHA"/>
    <s v="FEIRA DE SANTANA"/>
    <s v="RUA CARLOS LADARES, N°. 1058 - EM FRENTE A CLINICA UNACON"/>
    <s v="CLINICA UNACON"/>
    <m/>
    <m/>
  </r>
  <r>
    <s v="SIM"/>
    <s v="INSERIR SETOR"/>
    <x v="19"/>
    <s v="3T - ROTA/1"/>
    <s v="3T"/>
    <s v="ROTA/1"/>
    <s v="Ecio. R"/>
    <s v="ECIO CONCEICAO DOS REIS"/>
    <x v="0"/>
    <s v="BR1A004"/>
    <d v="2020-06-15T00:00:00"/>
    <s v="Rua Santos, 101, CASEB, FEIRA DE SANTANA, BAHIA, BRASIL"/>
    <s v="Rua Santos"/>
    <n v="101"/>
    <s v="CASEB"/>
    <s v="FEIRA DE SANTANA"/>
    <s v="Rua Santos, N° 101"/>
    <m/>
    <m/>
    <m/>
  </r>
  <r>
    <s v="SIM"/>
    <s v="CWBEM"/>
    <x v="6"/>
    <s v="2T - ROTA/1"/>
    <s v="2T"/>
    <s v="ROTA/1"/>
    <s v="EDIPO P. S."/>
    <s v="ÉDIPO PINHEIRO SILVA"/>
    <x v="2"/>
    <s v="BR5A008"/>
    <d v="2025-06-03T00:00:00"/>
    <s v="RUA DOUTOR MACÁRIO CERQUEIRA, 1147, MUCHILA, FEIRA DE SANTANA, BAHIA, BRASIL"/>
    <s v="RUA DOUTOR MACÁRIO CERQUEIRA"/>
    <n v="1147"/>
    <s v="MUCHILA"/>
    <s v="FEIRA DE SANTANA"/>
    <s v="RUA DOUTOR MACÁRIO CERQUEIRA, 1147, CONDOMINIO PRINCESA DO SERTÃO"/>
    <s v="CONDOMINIO PRINCESA DO SERTÃO"/>
    <m/>
    <m/>
  </r>
  <r>
    <s v="SIM"/>
    <s v="INSERIR SETOR"/>
    <x v="20"/>
    <s v="2T - ROTA/4"/>
    <s v="2T"/>
    <s v="ROTA/4"/>
    <s v="EDMILSON. L"/>
    <s v="EDMILSON LOPES DE OLIVEIRA"/>
    <x v="0"/>
    <s v="BR1A294"/>
    <d v="2021-11-16T00:00:00"/>
    <s v="PRAÇA DO LIMOEIRO, N/A, LIMOEIRO, LIMOEIRO, BAHIA, BRASIL"/>
    <s v="PRAÇA DO LIMOEIRO"/>
    <s v="N/A"/>
    <s v="LIMOEIRO"/>
    <s v="LIMOEIRO"/>
    <s v="PRAÇA DO LIMOEIRO, EM FRENTE AO MERCADO MUNICIPAL"/>
    <s v="MERCADO MUNICIPAL"/>
    <m/>
    <m/>
  </r>
  <r>
    <s v="SIM"/>
    <s v="LIMGER"/>
    <x v="6"/>
    <s v="1T - ROTA/8"/>
    <s v="1T"/>
    <s v="ROTA/8"/>
    <s v="EDINEIDE DA S."/>
    <s v="EDNEIDE DA SILVA TITO"/>
    <x v="1"/>
    <s v="BR4A006"/>
    <d v="2025-01-08T00:00:00"/>
    <s v="RUA AEROLINHA ESPANHA, 80, GEORGE AMERICO, FEIRA DE SANTANA, BAHIA, BRASIL"/>
    <s v="RUA AEROLINHA ESPANHA"/>
    <n v="80"/>
    <s v="GEORGE AMERICO"/>
    <s v="FEIRA DE SANTANA"/>
    <s v="RUA AEROLINHA ESPANHA, N° 80, PROX: POLICLINICA DE GEORGE AMERICO"/>
    <s v="PROX: POLICLINICA DE GEORGE AMERICO"/>
    <m/>
    <m/>
  </r>
  <r>
    <s v="SIM"/>
    <s v="INSERIR SETOR"/>
    <x v="21"/>
    <s v="1T - ROTA/5"/>
    <s v="1T"/>
    <s v="ROTA/5"/>
    <s v="EDUARDO S."/>
    <s v="EDUARDO DE ALMEIDA SILVA"/>
    <x v="0"/>
    <s v="BR1A004"/>
    <d v="2025-05-12T00:00:00"/>
    <s v="RUA SEIS, 7, FEIRA VII, FEIRA DE SANTANA, BAHIA, BRASIL"/>
    <s v="RUA SEIS"/>
    <n v="7"/>
    <s v="FEIRA VII"/>
    <s v="FEIRA DE SANTANA"/>
    <s v="RUA SEIS, N° 7 - COM.J ELZA AZEVEDO"/>
    <s v="COM.J ELZA AZEVEDO"/>
    <m/>
    <m/>
  </r>
  <r>
    <s v="SIM"/>
    <s v="INSERIR SETOR"/>
    <x v="22"/>
    <s v="3T - ROTA/1"/>
    <s v="3T"/>
    <s v="ROTA/1"/>
    <s v="Edvan. B"/>
    <s v="EDVAN SOUZA SANTA BARBARA"/>
    <x v="0"/>
    <s v="BR1A007"/>
    <d v="2012-01-16T00:00:00"/>
    <s v="RUA CAMBORIÚ, 50, Sim, FEIRA DE SANTANA, BAHIA, BRASIL"/>
    <s v="RUA CAMBORIÚ"/>
    <n v="50"/>
    <s v="Sim"/>
    <s v="FEIRA DE SANTANA"/>
    <s v="Rua Camboriú,N° 50, Ponto de apanha em frente a concessionaria Chery"/>
    <s v="Atras do Shopping Avenida"/>
    <m/>
    <m/>
  </r>
  <r>
    <s v="SIM"/>
    <s v="INSERIR SETOR"/>
    <x v="23"/>
    <s v="2T - ROTA/5"/>
    <s v="2T"/>
    <s v="ROTA/5"/>
    <s v="ELAINE. G"/>
    <s v="ELAINE BATISTA GONCALVES LIMA"/>
    <x v="0"/>
    <s v="BR1A294"/>
    <d v="2011-08-01T00:00:00"/>
    <s v="RUA PROFª. ELISA FERNANDES, 23, CAMPO LIMPO, FEIRA DE SANTANA, BAHIA, BRASIL"/>
    <s v="RUA PROFª. ELISA FERNANDES"/>
    <n v="23"/>
    <s v="CAMPO LIMPO"/>
    <s v="FEIRA DE SANTANA"/>
    <s v="RUA PROFª. ELISA FERNANDES,Nº 23, PONTO DE APANHA BARBEARIA JB"/>
    <s v="BARBEARIA JB"/>
    <m/>
    <m/>
  </r>
  <r>
    <s v="SIM"/>
    <s v="INSERIR SETOR"/>
    <x v="24"/>
    <s v="1T - ROTA/5"/>
    <s v="1T"/>
    <s v="ROTA/5"/>
    <s v="ELIANA. A"/>
    <s v="ELIANA DE ALMEIDA OLIVEIRA"/>
    <x v="0"/>
    <s v="BR1A010"/>
    <d v="2021-07-05T00:00:00"/>
    <s v="RUA PROJETADA, 27, PANORAMA, FEIRA DE SANTANA, BAHIA, BRASIL"/>
    <s v="RUA PROJETADA"/>
    <n v="27"/>
    <s v="PANORAMA"/>
    <s v="FEIRA DE SANTANA"/>
    <s v="RUA PROJETADA, N° 27 - RUA LATERAL DO USF PANORAMA 3"/>
    <s v="RUA LATERAL DO USF PANORAMA 3"/>
    <m/>
    <m/>
  </r>
  <r>
    <s v="SIM"/>
    <s v="INSERIR SETOR"/>
    <x v="25"/>
    <s v="1T - ROTA/2"/>
    <s v="1T"/>
    <s v="ROTA/2"/>
    <s v="ELIAS. F"/>
    <s v="ELIAS MOREIRA DA FONSECA"/>
    <x v="0"/>
    <s v="BR1A010"/>
    <d v="2014-10-13T00:00:00"/>
    <s v="PRAÇA SÃO ROQUE, N/A, MATINHA, MATINHA, BAHIA, BRASIL"/>
    <s v="PRAÇA SÃO ROQUE"/>
    <s v="N/A"/>
    <s v="MATINHA"/>
    <s v="MATINHA"/>
    <s v="PRAÇA SÃO ROQUE"/>
    <s v="PRAÇA SÃO ROQUE"/>
    <m/>
    <m/>
  </r>
  <r>
    <s v="SIM"/>
    <s v="INSERIR SETOR"/>
    <x v="26"/>
    <s v="1T - ROTA/5"/>
    <s v="1T"/>
    <s v="ROTA/5"/>
    <s v="ELICELIA. C"/>
    <s v="ELICELIA CAMPOS SANTOS"/>
    <x v="0"/>
    <s v="BR1A009"/>
    <d v="2022-11-07T00:00:00"/>
    <s v="RESIDENCIAL MORADA FELIZ, RUA 1, N/A, FRATERNIDADE, FEIRA DE SANTANA, BAHIA, BRASIL"/>
    <s v="RESIDENCIAL MORADA FELIZ, RUA 1"/>
    <s v="N/A"/>
    <s v="FRATERNIDADE"/>
    <s v="FEIRA DE SANTANA"/>
    <s v="RESIDENCIAL MORADA FELIZ, RUA 1, PONTO DE APANHA EM FRENTE A FABRICA VIVA NATUREZA"/>
    <s v="EM FRENTE A FABRICA VIVA NATUREZA"/>
    <m/>
    <m/>
  </r>
  <r>
    <s v="SIM"/>
    <s v="LIMGER"/>
    <x v="6"/>
    <s v="ADM ESPECIAL - ROTA/5"/>
    <s v="ADM ESPECIAL"/>
    <s v="ROTA/5"/>
    <s v="ELINE P."/>
    <s v="ELINE PEREIRA ALVES"/>
    <x v="1"/>
    <s v="BR4A006"/>
    <d v="2025-01-08T00:00:00"/>
    <s v="RUA AEROLINA ESPANHA, N/A, GEORGE AMERICO, FEIRA DE SANTANA, BAHIA, BRASIL"/>
    <s v="RUA AEROLINA ESPANHA"/>
    <s v="N/A"/>
    <s v="GEORGE AMERICO"/>
    <s v="FEIRA DE SANTANA"/>
    <s v="IGREJA ARCA DA ALIANÇA, EM FRENTE AO MERCADINHO DE DETE"/>
    <s v="IGREJA ARCA DA ALIANÇA, EM FRENTE AO MERCADINHO DE DETE"/>
    <m/>
    <m/>
  </r>
  <r>
    <s v="SIM"/>
    <s v="INSERIR SETOR"/>
    <x v="27"/>
    <s v="1T - ROTA/4"/>
    <s v="1T"/>
    <s v="ROTA/4"/>
    <s v="ELIOMAR. P"/>
    <s v="ELIOMAR CARVALHO DA PAIXAO"/>
    <x v="0"/>
    <s v="BR1A010"/>
    <d v="2014-06-02T00:00:00"/>
    <s v="AV. RUBENS DE CARVALHO, 265, VILA OLIMPIA, FEIRA DE SANTANA, BAHIA, BRASIL"/>
    <s v="AV. RUBENS DE CARVALHO"/>
    <n v="265"/>
    <s v="VILA OLIMPIA"/>
    <s v="FEIRA DE SANTANA"/>
    <s v="AV. RUBENS DE CARVALHO, N° 265, EM FRENTE AO COND. SÃO BENTO"/>
    <s v="EM FRENTE AO COND. SÃO BENTO"/>
    <m/>
    <m/>
  </r>
  <r>
    <s v="SIM"/>
    <s v="INSERIR SETOR"/>
    <x v="28"/>
    <s v="1T - ROTA/8"/>
    <s v="1T"/>
    <s v="ROTA/8"/>
    <s v="EMANUEL A."/>
    <s v="EMANUEL ALMEIDA DE LIMA"/>
    <x v="0"/>
    <s v="BR1A312"/>
    <d v="2015-05-18T00:00:00"/>
    <s v="RUA ALTO DE SANTANA, N/A, GABRIELA, FEIRA DE SANTANA, BAHIA, BRASIL"/>
    <s v="RUA ALTO DE SANTANA"/>
    <s v="N/A"/>
    <s v="GABRIELA"/>
    <s v="FEIRA DE SANTANA"/>
    <s v="RUA ALTO DE SANTANA EM FRENTE AO MERCADO 3 IRMÃO"/>
    <s v="EM FRENTE AO MERCADO 3 IRMÃO"/>
    <m/>
    <m/>
  </r>
  <r>
    <s v="SIM"/>
    <s v="INSERIR SETOR"/>
    <x v="29"/>
    <s v="2T - ROTA/2"/>
    <s v="2T"/>
    <s v="ROTA/2"/>
    <s v="EMANUELLA S."/>
    <s v="EMANUELA BATISTA SANTOS"/>
    <x v="0"/>
    <s v="BR1A312"/>
    <d v="2019-05-13T00:00:00"/>
    <s v="RUA QUINTANDUBA, 103, CONCEIÇÃO I, FEIRA DE SANTANA, BAHIA, BRASIL"/>
    <s v="RUA QUINTANDUBA"/>
    <n v="103"/>
    <s v="CONCEIÇÃO I"/>
    <s v="FEIRA DE SANTANA"/>
    <s v="RUA QUINTANDUBA 103 EM FRENTE AO MERCADINHO FAMILIA SOUZA"/>
    <s v="MERCADINHO FAMILIA SOUZA"/>
    <m/>
    <m/>
  </r>
  <r>
    <s v="SIM"/>
    <s v="INSERIR SETOR"/>
    <x v="30"/>
    <s v="2T - ROTA/5"/>
    <s v="2T"/>
    <s v="ROTA/5"/>
    <s v="ESMERALDA. M"/>
    <s v="ESMERALDA MARTINS DO NASCIMENTO MAGALHAES"/>
    <x v="0"/>
    <s v="BR1A312"/>
    <d v="2018-09-10T00:00:00"/>
    <s v="RUA J, 26, CIDADE NOVA, FEIRA DE SANTANA, BAHIA, BRASIL"/>
    <s v="RUA J"/>
    <n v="26"/>
    <s v="CIDADE NOVA"/>
    <s v="FEIRA DE SANTANA"/>
    <s v="RUA J, N° 26,PONTO DE APANHA BARATA MOTO PEÇAS"/>
    <s v="BARATA MOTO PEÇAS"/>
    <m/>
    <m/>
  </r>
  <r>
    <s v="SIM"/>
    <s v="INSERIR SETOR"/>
    <x v="31"/>
    <s v="2T - ROTA/4"/>
    <s v="2T"/>
    <s v="ROTA/4"/>
    <s v="FERNANDO. M"/>
    <s v="FERNANDO DA SILVA MOREIRA"/>
    <x v="0"/>
    <s v="BR1A312"/>
    <d v="2016-03-07T00:00:00"/>
    <s v="RUA ESPAÇO SIDERAL, 15, AMELIA RODRIGUES, FEIRA DE SANTANA, BAHIA, BRASIL"/>
    <s v="RUA ESPAÇO SIDERAL"/>
    <n v="15"/>
    <s v="AMELIA RODRIGUES"/>
    <s v="FEIRA DE SANTANA"/>
    <s v="RUA ESPAÇO SIDERAL, Nº 15"/>
    <s v="A CASA DA FAZENDA"/>
    <m/>
    <m/>
  </r>
  <r>
    <s v="SIM"/>
    <s v="INSERIR SETOR"/>
    <x v="32"/>
    <s v="3T - ROTA/1"/>
    <s v="3T"/>
    <s v="ROTA/1"/>
    <s v="Fernando. G"/>
    <s v="FERNANDO GONCALVES ALVES"/>
    <x v="0"/>
    <s v="BR1A312"/>
    <d v="2022-12-05T00:00:00"/>
    <s v="CENTRO ESTADUAL DE EDUCAÇÃO PROFISSIONAL ÁUREO DE OLIVEIRA FILHO, N/A, SANTA MÔNICA, FEIRA DE SANTANA, BAHIA, BRASIL"/>
    <s v="CENTRO ESTADUAL DE EDUCAÇÃO PROFISSIONAL ÁUREO DE OLIVEIRA FILHO"/>
    <s v="N/A"/>
    <s v="SANTA MÔNICA"/>
    <s v="FEIRA DE SANTANA"/>
    <s v="Em frente ao Centro Estadual de Educação Profissional Aureo de Oliveira Filho"/>
    <s v="Em frente ao Centro Estadual de Educação Profissional Aureo de Oliveira Filho"/>
    <m/>
    <m/>
  </r>
  <r>
    <s v="SIM"/>
    <s v="INSERIR SETOR"/>
    <x v="33"/>
    <s v="3T - ROTA/1"/>
    <s v="3T"/>
    <s v="ROTA/1"/>
    <s v="Forlan R."/>
    <s v="FORLAN RIBEIRO CARDOSO"/>
    <x v="0"/>
    <s v="BR1A312"/>
    <d v="2023-04-03T00:00:00"/>
    <s v="Rua Irece, 35, JARDIM CRUZEIRO, FEIRA DE SANTANA, BAHIA, BRASIL"/>
    <s v="Rua Irece"/>
    <n v="35"/>
    <s v="JARDIM CRUZEIRO"/>
    <s v="FEIRA DE SANTANA"/>
    <s v="Rua Irece, N° 35"/>
    <s v="Drogaria Brito"/>
    <m/>
    <m/>
  </r>
  <r>
    <s v="SIM"/>
    <s v="INSERIR SETOR"/>
    <x v="34"/>
    <s v="2T - ROTA/3"/>
    <s v="2T"/>
    <s v="ROTA/3"/>
    <s v="FRANCISCA. L"/>
    <s v="FRANCISCA ERLIANE DE LIMA"/>
    <x v="0"/>
    <s v="BR2A032"/>
    <d v="2021-07-05T00:00:00"/>
    <s v="RUA SÃO CRISTOVÃO, 351, SANTA MÔNICA, FEIRA DE SANTANA, BAHIA, BRASIL"/>
    <s v="RUA SÃO CRISTOVÃO"/>
    <n v="351"/>
    <s v="SANTA MÔNICA"/>
    <s v="FEIRA DE SANTANA"/>
    <s v="RUA SÃO CRISTOVÃO, 351 - REF. PRÉDIO AZUL MARINHO"/>
    <s v="PRÉDIO AZUL MARINHO"/>
    <m/>
    <m/>
  </r>
  <r>
    <s v="SIM"/>
    <s v="INSERIR SETOR"/>
    <x v="35"/>
    <s v="1T - ROTA/10"/>
    <s v="1T"/>
    <s v="ROTA/10"/>
    <s v="FRANCISCO A."/>
    <s v="FRANCISCO DE ASSIS SILVA MAGALHAES"/>
    <x v="0"/>
    <s v="BR1A312"/>
    <d v="2024-08-12T00:00:00"/>
    <s v="RUA DA AVIAÇÃO, 565, CAMPO LIMPO, FEIRA DE SANTANA, BAHIA, BRASIL"/>
    <s v="RUA DA AVIAÇÃO"/>
    <n v="565"/>
    <s v="CAMPO LIMPO"/>
    <s v="FEIRA DE SANTANA"/>
    <s v="RUA DA AVIAÇÃO, Nº 565"/>
    <s v="RUA DA AVIAÇÃO, Nº 565"/>
    <m/>
    <m/>
  </r>
  <r>
    <s v="SIM"/>
    <s v="LIMGER"/>
    <x v="6"/>
    <s v="2T - ROTA/2"/>
    <s v="2T"/>
    <s v="ROTA/2"/>
    <s v="GABRIEL O."/>
    <s v="GABRIEL OLIVEIRA DE CARVALHO"/>
    <x v="1"/>
    <s v="BR4A006"/>
    <d v="2025-01-08T00:00:00"/>
    <s v="AV. IGUATEMI, 528, , FEIRA DE SANTANA, BAHIA, BRASIL"/>
    <s v="AV. IGUATEMI"/>
    <n v="528"/>
    <m/>
    <s v="FEIRA DE SANTANA"/>
    <s v="AV. IGUATEMI, 528, PROX. AO MERCADINHO CARIOCA"/>
    <s v="MERCADINHO CARIOCA"/>
    <m/>
    <m/>
  </r>
  <r>
    <s v="SIM"/>
    <s v="INSERIR SETOR"/>
    <x v="36"/>
    <s v="2T - ROTA/2"/>
    <s v="2T"/>
    <s v="ROTA/2"/>
    <s v="GABRIELLE CASAES SANTANA"/>
    <s v="GABRIELLE CASAES SANTANA"/>
    <x v="0"/>
    <s v="BR1A002"/>
    <m/>
    <s v="RUA DESEMBARGADOR RAYMUNDO CARNEIRO PINTO, 66, SIM, FEIRA DE SANTANA, BAHIA, BRASIL"/>
    <s v="RUA DESEMBARGADOR RAYMUNDO CARNEIRO PINTO"/>
    <n v="66"/>
    <s v="Sim"/>
    <s v="FEIRA DE SANTANA"/>
    <s v="RUA DESEMBARGADOR RAYMUNDO CARNEIRO PINTO, Nº 66"/>
    <m/>
    <m/>
    <m/>
  </r>
  <r>
    <s v="SIM"/>
    <s v="INSERIR SETOR"/>
    <x v="37"/>
    <s v="3T - ROTA/1"/>
    <s v="3T"/>
    <s v="ROTA/1"/>
    <s v="Gean Fonseca"/>
    <s v="GEAN CLEBERSON MOTA DA FONSECA"/>
    <x v="0"/>
    <s v="BR1A004"/>
    <d v="2025-01-06T00:00:00"/>
    <s v="Rua Corunha, 296, CONCEIÇÃO I, FEIRA DE SANTANA, BAHIA, BRASIL"/>
    <s v="Rua Corunha"/>
    <n v="296"/>
    <s v="CONCEIÇÃO I"/>
    <s v="FEIRA DE SANTANA"/>
    <s v="Rua Corunha, N° 296"/>
    <m/>
    <m/>
    <m/>
  </r>
  <r>
    <s v="SIM"/>
    <s v="LIMGER"/>
    <x v="6"/>
    <s v="1T - ROTA/5"/>
    <s v="1T"/>
    <s v="ROTA/5"/>
    <s v="GILSON DOS S."/>
    <s v="GILSON DOS SANTOS SILVA"/>
    <x v="1"/>
    <s v="BR4A006"/>
    <d v="2025-01-08T00:00:00"/>
    <s v="RUA EL SALVADOR, 2543, FEIRA VII, FEIRA DE SANTANA, BAHIA, BRASIL"/>
    <s v="RUA EL SALVADOR"/>
    <n v="2543"/>
    <s v="FEIRA VII"/>
    <s v="FEIRA DE SANTANA"/>
    <s v="RUA EL SALVador, N° 2543 - SUPERMERCADO LIMA"/>
    <s v="SUPERMERCADO LIMA"/>
    <m/>
    <m/>
  </r>
  <r>
    <s v="SIM"/>
    <s v="INSERIR SETOR"/>
    <x v="38"/>
    <s v="ADM - ROTA/2"/>
    <s v="ADM"/>
    <s v="ROTA/2"/>
    <s v="IASMIM L."/>
    <s v="IASMIM DE ALMEIDA LIMA"/>
    <x v="0"/>
    <s v="BR1A002"/>
    <d v="2022-01-03T00:00:00"/>
    <s v="RUA ALMEIDA DAS ARVORES, N/A, MANGABEIRA, FEIRA DE SANTANA, BAHIA, BRASIL"/>
    <s v="RUA ALMEIDA DAS ARVORES"/>
    <s v="N/A"/>
    <s v="MANGABEIRA"/>
    <s v="FEIRA DE SANTANA"/>
    <s v="RUA ALMEIDA DAS ARVORES"/>
    <s v="EM FRENTE AO MERCADINHO ARMAZÉM"/>
    <m/>
    <m/>
  </r>
  <r>
    <s v="SIM"/>
    <s v="LIMGER"/>
    <x v="6"/>
    <s v="2T - ROTA/3"/>
    <s v="2T"/>
    <s v="ROTA/3"/>
    <s v="IRACI MARIA DE J."/>
    <s v="IRACI MARIA DE JESUS"/>
    <x v="1"/>
    <s v="BR4A006"/>
    <d v="2025-01-08T00:00:00"/>
    <s v="RUA MOGI DAS CRUZES, N/A, , FEIRA DE SANTANA, BAHIA, BRASIL"/>
    <s v="RUA MOGI DAS CRUZES"/>
    <s v="N/A"/>
    <m/>
    <s v="FEIRA DE SANTANA"/>
    <s v="RUA MOGI DAS CRUZES, AO LADO DO COLÉGIO JUIZ JORGE FARIAS GOES"/>
    <s v="AO LADO DO COLÉGIO JUIZ JORGE FARIAS GOES"/>
    <m/>
    <m/>
  </r>
  <r>
    <s v="SIM"/>
    <s v="LIMGER"/>
    <x v="6"/>
    <s v="ADM ESPECIAL - ROTA/2"/>
    <s v="ADM ESPECIAL"/>
    <s v="ROTA/2"/>
    <s v="ISAIAS DE JESUS"/>
    <s v="ISAIAS DE JESUS"/>
    <x v="1"/>
    <s v="BR4A006"/>
    <d v="2025-01-08T00:00:00"/>
    <s v="RUA QUINTO, 1027, SANTO ANTÔNIO DOS PRAZERES, FEIRA DE SANTANA, BAHIA, BRASIL"/>
    <s v="RUA QUINTO"/>
    <n v="1027"/>
    <s v="SANTO ANTÔNIO DOS PRAZERES"/>
    <s v="FEIRA DE SANTANA"/>
    <s v="RUA QUINTO"/>
    <s v="FUNDO DO POSTO DE GASOLINA JG"/>
    <m/>
    <m/>
  </r>
  <r>
    <s v="SIM"/>
    <s v="INSERIR SETOR"/>
    <x v="39"/>
    <s v="ADM - ROTA/5"/>
    <s v="ADM"/>
    <s v="ROTA/5"/>
    <s v="ISMAEL. P"/>
    <s v="ISMAEL PORTUGAL DE ALMEIDA"/>
    <x v="0"/>
    <s v="BR1A008"/>
    <d v="2012-07-12T00:00:00"/>
    <s v="RUA TERESOPOLIS II, 29, CAMPO LIMPO, FEIRA DE SANTANA, BAHIA, BRASIL"/>
    <s v="RUA TERESOPOLIS II"/>
    <n v="29"/>
    <s v="CAMPO LIMPO"/>
    <s v="FEIRA DE SANTANA"/>
    <s v="FUNDO DO SENAI"/>
    <s v="FUNDO DO SENAI"/>
    <m/>
    <m/>
  </r>
  <r>
    <s v="SIM"/>
    <s v="MANPOWER"/>
    <x v="6"/>
    <s v="ADM - ROTA/1"/>
    <s v="ADM"/>
    <s v="ROTA/1"/>
    <s v="ITALO S."/>
    <s v="ITALO ANDRADE SOUSA"/>
    <x v="3"/>
    <s v="BR4A004"/>
    <d v="2023-08-09T00:00:00"/>
    <s v="Avenida Artêmia Pires, 8147, Sim, FEIRA DE SANTANA, BAHIA, BRASIL"/>
    <s v="Avenida Artêmia Pires"/>
    <n v="8147"/>
    <s v="Sim"/>
    <s v="FEIRA DE SANTANA"/>
    <s v="COND. PARQUE FLORA"/>
    <s v="COND. PARQUE FLORA"/>
    <m/>
    <m/>
  </r>
  <r>
    <s v="SIM"/>
    <s v="INSERIR SETOR"/>
    <x v="40"/>
    <s v="2T - ROTA/4"/>
    <s v="2T"/>
    <s v="ROTA/4"/>
    <s v="IVANILDO. F"/>
    <s v="IVANILDO FERREIRA DOS SANTOS NASCIMENTO"/>
    <x v="0"/>
    <s v="BR1A004"/>
    <d v="2013-10-14T00:00:00"/>
    <s v="RUA GENÉSIO MOREIRA, 283, HUMILDES, HUMILDES, BAHIA, BRASIL"/>
    <s v="RUA GENÉSIO MOREIRA"/>
    <n v="283"/>
    <s v="HUMILDES"/>
    <s v="HUMILDES"/>
    <s v="RUA GENÉSIO MOREIRA N°283"/>
    <s v="A IGREJA NOVA DE CRISTO"/>
    <m/>
    <m/>
  </r>
  <r>
    <s v="SIM"/>
    <s v="INSERIR SETOR"/>
    <x v="41"/>
    <s v="1T - ROTA/6"/>
    <s v="1T"/>
    <s v="ROTA/6"/>
    <s v="JADNA A."/>
    <s v="JADNA ALMEIDA ESTRELA"/>
    <x v="0"/>
    <s v="BR1A002"/>
    <d v="2023-06-05T00:00:00"/>
    <s v="RUA DO ROSARIO, 100, MANGABEIRA, FEIRA DE SANTANA, BAHIA, BRASIL"/>
    <s v="RUA DO ROSARIO"/>
    <n v="100"/>
    <s v="MANGABEIRA"/>
    <s v="FEIRA DE SANTANA"/>
    <s v="RUA DO ROSARIO, Nº 100, EM FRENTE AO CONDOMINIO IDEALE GIARDINI, REF:AÇOUGUE REI DO GADO"/>
    <s v="AÇOUGUE REI DO GADO"/>
    <m/>
    <m/>
  </r>
  <r>
    <s v="SIM"/>
    <s v="INSERIR SETOR"/>
    <x v="42"/>
    <s v="3T - ROTA/2"/>
    <s v="3T"/>
    <s v="ROTA/2"/>
    <s v="Jadson. S"/>
    <s v="JADSON DE JESUS SANTANA"/>
    <x v="0"/>
    <s v="BR1A004"/>
    <d v="2021-09-20T00:00:00"/>
    <s v="Rua Isaias Gonçalves, 227, TOMBA, FEIRA DE SANTANA, BAHIA, BRASIL"/>
    <s v="Rua Isaias Gonçalves"/>
    <n v="227"/>
    <s v="TOMBA"/>
    <s v="FEIRA DE SANTANA"/>
    <s v="Rua Isaias Gonçalves, N° 227"/>
    <s v="Prox: A Paróquia"/>
    <m/>
    <m/>
  </r>
  <r>
    <s v="SIM"/>
    <s v="INSERIR SETOR"/>
    <x v="43"/>
    <s v="2T - ROTA/1"/>
    <s v="2T"/>
    <s v="ROTA/1"/>
    <s v="JEANDERSON. N"/>
    <s v="JEANDERSON BATISTA NASCIMENTO"/>
    <x v="0"/>
    <s v="BR1A312"/>
    <d v="2012-07-17T00:00:00"/>
    <s v="RUA AMADO BAHIA, N/A, PANORAMA, FEIRA DE SANTANA, BAHIA, BRASIL"/>
    <s v="RUA AMADO BAHIA"/>
    <s v="N/A"/>
    <s v="PANORAMA"/>
    <s v="FEIRA DE SANTANA"/>
    <s v="RUA AMADO BAHIA EM FRENTE A IGREJA DAS TESTEMUNHAS DE JEOVÁ"/>
    <s v="IGREJA DAS TESTEMUNHAS DE JEOVÁ"/>
    <m/>
    <m/>
  </r>
  <r>
    <s v="SIM"/>
    <s v="INSERIR SETOR"/>
    <x v="44"/>
    <s v="1T - ROTA/6"/>
    <s v="1T"/>
    <s v="ROTA/6"/>
    <s v="JEFERSON A."/>
    <s v="JEFERSON DO AMARAL SANTOS"/>
    <x v="0"/>
    <s v="BR1A312"/>
    <d v="2015-09-21T00:00:00"/>
    <s v="AV. ANTONIO RIBEIRO MARQUES, N/A, SIM, FEIRA DE SANTANA, BAHIA, BRASIL"/>
    <s v="AV. ANTONIO RIBEIRO MARQUES"/>
    <s v="N/A"/>
    <s v="Sim"/>
    <s v="FEIRA DE SANTANA"/>
    <s v="AV. ANTONIO RIBEIRO MARQUES, PONTO DE APANHA EM FRENTE AO COND: RESERVA IBIRAPUERA"/>
    <s v="EM FRENTE AO COND: RESERVA IBIRAPUERA"/>
    <m/>
    <m/>
  </r>
  <r>
    <s v="SIM"/>
    <s v="INSERIR SETOR"/>
    <x v="45"/>
    <s v="1T - ROTA/4"/>
    <s v="1T"/>
    <s v="ROTA/4"/>
    <s v="JENIVALDO. S"/>
    <s v="JENIVALDO DE JESUS DA SILVA"/>
    <x v="0"/>
    <s v="BR1A312"/>
    <d v="2015-05-18T00:00:00"/>
    <s v="RUA B, CAMINHO E16, 11, FEIRA X, FEIRA DE SANTANA, BAHIA, BRASIL"/>
    <s v="RUA B, CAMINHO E16"/>
    <n v="11"/>
    <s v="FEIRA X"/>
    <s v="FEIRA DE SANTANA"/>
    <s v="RUA B, CAMINHO E16, N° 11"/>
    <s v="RUA B, CAMINHO E16, N° 11"/>
    <m/>
    <m/>
  </r>
  <r>
    <s v="SIM"/>
    <s v="INSERIR SETOR"/>
    <x v="46"/>
    <s v="1T - ROTA/6"/>
    <s v="1T"/>
    <s v="ROTA/6"/>
    <s v="JOACI S."/>
    <s v="JOACI SANTOS DA SILVA"/>
    <x v="0"/>
    <s v="BR1A004"/>
    <n v="46027"/>
    <s v="RUA CATOLÉ DA ROCHA, 930, SANTO ANTÔNIO DOS PRAZERES, FEIRA DE SANTANA, BAHIA, BRASIL"/>
    <s v="RUA CATOLÉ DA ROCHA"/>
    <n v="930"/>
    <s v="SANTO ANTÔNIO DOS PRAZERES"/>
    <s v="FEIRA DE SANTANA"/>
    <s v="POSTO DE COMBUSTIVEL SANTA FÉ"/>
    <m/>
    <m/>
    <m/>
  </r>
  <r>
    <s v="SIM"/>
    <s v="LIMGER"/>
    <x v="6"/>
    <s v="ADM - ROTA/7"/>
    <s v="ADM"/>
    <s v="ROTA/7"/>
    <s v="JOÃO ROBERTO DE S."/>
    <s v="JOÃO ROBERTO DE SENA GOMES"/>
    <x v="1"/>
    <s v="BR4A006"/>
    <d v="2025-01-08T00:00:00"/>
    <s v="Rua do Mercado, N/A, HUMILDES, HUMILDES, BAHIA, BRASIL"/>
    <s v="Rua do Mercado"/>
    <s v="N/A"/>
    <s v="HUMILDES"/>
    <s v="HUMILDES"/>
    <s v="EM FRENTE AO MERCADO MUNICIPAL"/>
    <s v="MERCADO MUNICIPAL"/>
    <m/>
    <m/>
  </r>
  <r>
    <s v="SIM"/>
    <s v="LIMGER"/>
    <x v="6"/>
    <s v="ADM ESPECIAL - ROTA/2"/>
    <s v="ADM ESPECIAL"/>
    <s v="ROTA/2"/>
    <s v="JORGE MANOEL"/>
    <s v="JORGE MANOEL DOS SANTOS "/>
    <x v="1"/>
    <s v="BR4A006"/>
    <d v="2025-01-08T00:00:00"/>
    <s v="RUA RIO VERDE, 40, CONCEIÇÃO II, FEIRA DE SANTANA, BAHIA, BRASIL"/>
    <s v="RUA RIO VERDE"/>
    <n v="40"/>
    <s v="CONCEIÇÃO II"/>
    <s v="FEIRA DE SANTANA"/>
    <s v="RUA RIO VERDE"/>
    <s v="NOVA PRAÇA CONCEIÇÃO II"/>
    <m/>
    <m/>
  </r>
  <r>
    <s v="SIM"/>
    <s v="LIMGER"/>
    <x v="6"/>
    <s v="ADM - ROTA/3"/>
    <s v="ADM"/>
    <s v="ROTA/3"/>
    <s v="JOSE DE JESUS A."/>
    <s v="JOSE DE JESUS ALMEIDA FILHO"/>
    <x v="1"/>
    <s v="BR4A006"/>
    <d v="2025-01-08T00:00:00"/>
    <s v="RUA E, 81, AVIARIO, FEIRA DE SANTANA, BAHIA, BRASIL"/>
    <s v="RUA E"/>
    <n v="81"/>
    <s v="AVIARIO"/>
    <s v="FEIRA DE SANTANA"/>
    <s v="RUA E"/>
    <s v="MERCADINHO AV"/>
    <m/>
    <m/>
  </r>
  <r>
    <s v="SIM"/>
    <s v="INSERIR SETOR"/>
    <x v="47"/>
    <s v="1T - ROTA/6"/>
    <s v="1T"/>
    <s v="ROTA/6"/>
    <s v="JOSE P."/>
    <s v="JOSE PHILIPE DE JESUS PINTO"/>
    <x v="0"/>
    <s v="BR1A294"/>
    <d v="2022-09-19T00:00:00"/>
    <s v="RUA VITORINO FREIRE, 426, MANGABEIRA, FEIRA DE SANTANA, BAHIA, BRASIL"/>
    <s v="RUA VITORINO FREIRE"/>
    <n v="426"/>
    <s v="MANGABEIRA"/>
    <s v="FEIRA DE SANTANA"/>
    <s v="RUA VITORINO FREIRE, Nº 426"/>
    <s v="RUA VITORINO FREIRE, Nº 426"/>
    <m/>
    <m/>
  </r>
  <r>
    <s v="SIM"/>
    <s v="INSERIR SETOR"/>
    <x v="48"/>
    <s v="1T - ROTA/10"/>
    <s v="1T"/>
    <s v="ROTA/10"/>
    <s v="JOSEANE. B"/>
    <s v="JOSEANE BASTOS DOS SANTOS"/>
    <x v="0"/>
    <s v="BR2A008"/>
    <d v="2018-12-03T00:00:00"/>
    <s v="RUA C, 345, CAMPO LIMPO, FEIRA DE SANTANA, BAHIA, BRASIL"/>
    <s v="RUA C"/>
    <n v="345"/>
    <s v="CAMPO LIMPO"/>
    <s v="FEIRA DE SANTANA"/>
    <s v="RUA C, Nº 345 PROX: AO MERCADO BIG ECONOMICO OU MERCADO FILÉ"/>
    <s v="PROX: AO MERCADO BIG ECONOMICO OU MERCADO FILÉ"/>
    <m/>
    <m/>
  </r>
  <r>
    <s v="SIM"/>
    <s v="INSERIR SETOR"/>
    <x v="49"/>
    <s v="1T - ROTA/1"/>
    <s v="1T"/>
    <s v="ROTA/1"/>
    <s v="JOSEMIR. C"/>
    <s v="JOSEMIR BORGES DE CARVALHO"/>
    <x v="0"/>
    <s v="BR1A294"/>
    <d v="2016-04-04T00:00:00"/>
    <s v="RUA GENÉSIO MOREIRA, 283, HUMILDES, HUMILDES, BAHIA, BRASIL"/>
    <s v="RUA GENÉSIO MOREIRA"/>
    <n v="283"/>
    <s v="HUMILDES"/>
    <s v="HUMILDES"/>
    <s v="RUA GENÉSIO MOREIRA N° 283 - PROX. A IGREJA NOVA DE CRISTO"/>
    <s v="PROX. A IGREJA NOVA DE CRISTO"/>
    <m/>
    <m/>
  </r>
  <r>
    <s v="SIM"/>
    <s v="LIMGER"/>
    <x v="6"/>
    <s v="1T - ROTA/8"/>
    <s v="1T"/>
    <s v="ROTA/8"/>
    <s v="JOSENICE S."/>
    <s v="JOSENICE SANTOS DA CRUZ"/>
    <x v="1"/>
    <s v="BR4A006"/>
    <d v="2025-01-08T00:00:00"/>
    <s v="RUA PROFª MARIA DA GLORIA DE JESUS, 61, GABRIELA, FEIRA DE SANTANA, BAHIA, BRASIL"/>
    <s v="RUA PROFª MARIA DA GLORIA DE JESUS"/>
    <n v="61"/>
    <s v="GABRIELA"/>
    <s v="FEIRA DE SANTANA"/>
    <s v="RUA PROFª MARIA DA GLORIA DE JESUS, N° 61, REF: MERCADINHO DONA JO"/>
    <s v="MERCADINHO DONA JO"/>
    <m/>
    <m/>
  </r>
  <r>
    <s v="SIM"/>
    <s v="INSERIR SETOR"/>
    <x v="50"/>
    <s v="1T - ROTA/8"/>
    <s v="1T"/>
    <s v="ROTA/8"/>
    <s v="JULIANA A."/>
    <s v="JULIANA ALVES CIRIACO DOS SANTOS"/>
    <x v="0"/>
    <s v="BR1A312"/>
    <d v="2023-04-03T00:00:00"/>
    <s v="RUA GENÉSIO SERAFIM DE LIMA, 17, GABRIELA, FEIRA DE SANTANA, BAHIA, BRASIL"/>
    <s v="RUA GENÉSIO SERAFIM DE LIMA"/>
    <n v="17"/>
    <s v="GABRIELA"/>
    <s v="FEIRA DE SANTANA"/>
    <s v="RUA GENÉSIO SERAFIM DE LIMA, N° 17, REF: DEPOSITO DE BEBIDAS JUNIOR CROSS"/>
    <s v="DEPOSITO DE BEBIDAS JUNIOR CROSS"/>
    <m/>
    <m/>
  </r>
  <r>
    <s v="SIM"/>
    <s v="INSERIR SETOR"/>
    <x v="51"/>
    <s v="ADM - ROTA/1"/>
    <s v="ADM"/>
    <s v="ROTA/1"/>
    <s v="KATARYNA A."/>
    <s v="KATARYNNA SANTOS DE ARAUJO"/>
    <x v="0"/>
    <s v="BR1A054"/>
    <d v="2020-12-14T00:00:00"/>
    <s v="Avenida Antônio Ribeiro Marques, 1801, Registro, FEIRA DE SANTANA, BAHIA, BRASIL"/>
    <s v="Avenida Antônio Ribeiro Marques"/>
    <n v="1801"/>
    <s v="Registro"/>
    <s v="FEIRA DE SANTANA"/>
    <s v="COND. RESERVA BUZIOS"/>
    <s v="COND. RESERVA BUZIOS"/>
    <m/>
    <m/>
  </r>
  <r>
    <s v="SIM"/>
    <s v="INSERIR SETOR"/>
    <x v="52"/>
    <s v="1T - ROTA/7"/>
    <s v="1T"/>
    <s v="ROTA/7"/>
    <s v="LAILSON. C"/>
    <s v="LAILSON DO CARMO DE SAO JOSE"/>
    <x v="0"/>
    <s v="BR1A009"/>
    <d v="2022-12-05T00:00:00"/>
    <s v="Avenida Domício Alves de Andrade, 39, AMELIA RODRIGUES, AMELIA RODRIGUES, BAHIA, BRASIL"/>
    <s v="Avenida Domício Alves de Andrade"/>
    <n v="39"/>
    <s v="AMELIA RODRIGUES"/>
    <s v="AMELIA RODRIGUES"/>
    <s v="Avenida Domício Alves de Andrade, 39. Referência depois da embasa"/>
    <s v="Depois da embasa"/>
    <m/>
    <m/>
  </r>
  <r>
    <s v="SIM"/>
    <s v="INSERIR SETOR"/>
    <x v="53"/>
    <s v="1T - ROTA/6"/>
    <s v="1T"/>
    <s v="ROTA/6"/>
    <s v="LEANDRO. B"/>
    <s v="LEANDRO BARBOSA SOUZA"/>
    <x v="0"/>
    <s v="BR1A312"/>
    <d v="2024-06-03T00:00:00"/>
    <s v="RUA DO ROSARIO, 100, MANGABEIRA, FEIRA DE SANTANA, BAHIA, BRASIL"/>
    <s v="RUA DO ROSARIO"/>
    <n v="100"/>
    <s v="MANGABEIRA"/>
    <s v="FEIRA DE SANTANA"/>
    <s v="RUA DO ROSARIO, Nº 100,  EM FRENTE AO CONDOMINIO IDEALE GIARDINI"/>
    <s v="AÇOUGUE REI DO GADO"/>
    <m/>
    <m/>
  </r>
  <r>
    <s v="SIM"/>
    <s v="INSERIR SETOR"/>
    <x v="54"/>
    <s v="1T - ROTA/4"/>
    <s v="1T"/>
    <s v="ROTA/4"/>
    <s v="LEANDRO. S"/>
    <s v="LEANDRO SANTOS DA SILVA"/>
    <x v="0"/>
    <s v="BR1A312"/>
    <d v="2022-04-18T00:00:00"/>
    <s v="RUA DANTAS, 91, EUCALIPTO, FEIRA DE SANTANA, BAHIA, BRASIL"/>
    <s v="RUA DANTAS"/>
    <n v="91"/>
    <s v="EUCALIPTO"/>
    <s v="FEIRA DE SANTANA"/>
    <s v="RUA DANTAS, 91 - PROX.AO COWBOY DO ASFALTO"/>
    <s v="PROX.AO COWBOY DO ASFALTO"/>
    <m/>
    <m/>
  </r>
  <r>
    <s v="SIM"/>
    <s v="INSERIR SETOR"/>
    <x v="55"/>
    <s v="1T - ROTA/4"/>
    <s v="1T"/>
    <s v="ROTA/4"/>
    <s v="LEILA. C"/>
    <s v="LEILA MIRELLA SOUSA SANTOS COSTA"/>
    <x v="0"/>
    <s v="BR1A312"/>
    <d v="2019-05-13T00:00:00"/>
    <s v="RUA PILAR DO SUL, 1124, BRASILIA, FEIRA DE SANTANA, BAHIA, BRASIL"/>
    <s v="RUA PILAR DO SUL"/>
    <n v="1124"/>
    <s v="BRASILIA"/>
    <s v="FEIRA DE SANTANA"/>
    <s v="RUA PILAR DO SUL, N° 1124 PONTO DE APANHA: RUA EM FRENTE A FEIRA TAXI"/>
    <s v="RUA EM FRENTE A FEIRA TAXI"/>
    <m/>
    <m/>
  </r>
  <r>
    <s v="SIM"/>
    <s v="INSERIR SETOR"/>
    <x v="56"/>
    <s v="1T - ROTA/9"/>
    <s v="1T"/>
    <s v="ROTA/9"/>
    <s v="LEONARDO. S"/>
    <s v="LEONARDO DA SILVA SANTOS"/>
    <x v="0"/>
    <s v="BR1A004"/>
    <d v="2025-06-09T00:00:00"/>
    <s v="AV. CAZUMBA, N/A, SÃO GONÇALO DOS CAMPOS, SÃO GONÇALO DOS CAMPOS, BAHIA, BRASIL"/>
    <s v="AV. CAZUMBA"/>
    <s v="N/A"/>
    <s v="SÃO GONÇALO DOS CAMPOS"/>
    <s v="SÃO GONÇALO DOS CAMPOS"/>
    <s v="AV. CAZUMBA EM FRENTE A SERRALHERIA SANTO ANTONIO"/>
    <s v="EM FRENTE A SERRALHERIA SANTO ANTONIO"/>
    <m/>
    <m/>
  </r>
  <r>
    <s v="SIM"/>
    <s v="INSERIR SETOR"/>
    <x v="57"/>
    <s v="2T - ROTA/1"/>
    <s v="2T"/>
    <s v="ROTA/1"/>
    <s v="LHAIS. A"/>
    <s v="LHAIS SILVA DOS ANJOS"/>
    <x v="0"/>
    <s v="BR2A032"/>
    <d v="2011-11-14T00:00:00"/>
    <s v="RUA AMADO BAHIA, N/A, PANORAMA, FEIRA DE SANTANA, BAHIA, BRASIL"/>
    <s v="RUA AMADO BAHIA"/>
    <s v="N/A"/>
    <s v="PANORAMA"/>
    <s v="FEIRA DE SANTANA"/>
    <s v="RUA AMADO BAHIA EM FRENTE A IGREJA DAS TESTEMUNHAS DE JEOVÁ"/>
    <s v="IGREJA DAS TESTEMUNHAS DE JEOVÁ"/>
    <m/>
    <m/>
  </r>
  <r>
    <s v="SIM"/>
    <s v="INSERIR SETOR"/>
    <x v="58"/>
    <s v="1T - ROTA/3"/>
    <s v="1T"/>
    <s v="ROTA/3"/>
    <s v="LUAN. B"/>
    <s v="LUAN BENICIO BANDEIRA PINTO"/>
    <x v="0"/>
    <s v="BR1A294"/>
    <d v="2023-06-05T00:00:00"/>
    <s v="PRAÇA QUATRO, 1, CIDADE NOVA, FEIRA DE SANTANA, BAHIA, BRASIL"/>
    <s v="PRAÇA QUATRO"/>
    <n v="1"/>
    <s v="CIDADE NOVA"/>
    <s v="FEIRA DE SANTANA"/>
    <s v="PRAÇA QUATRO, N° 01, PROX: AO COLEGIO LUIZ VIANA"/>
    <s v="PROX: AO COLEGIO LUIZ VIANA"/>
    <m/>
    <m/>
  </r>
  <r>
    <s v="SIM"/>
    <s v="INSERIR SETOR"/>
    <x v="59"/>
    <s v="ADM - ROTA/6"/>
    <s v="ADM"/>
    <s v="ROTA/6"/>
    <s v="LUCAS DE O. R."/>
    <s v="LUCAS DE OLIVEIRA RODRIGUES"/>
    <x v="0"/>
    <s v="BR1A013"/>
    <d v="2012-09-14T00:00:00"/>
    <s v="RUA MATO GROSSO, 50, SÃO GONÇALO DOS CAMPOS, SÃO GONÇALO DOS CAMPOS, BAHIA, BRASIL"/>
    <s v="RUA MATO GROSSO"/>
    <n v="50"/>
    <s v="SÃO GONÇALO DOS CAMPOS"/>
    <s v="SÃO GONÇALO DOS CAMPOS"/>
    <s v="RUA MATO GROSSO Nº 50"/>
    <s v="PRIMEIRA DIREITA, APÓS A ASSEMBLEIA DA RUA DA ALEGRIA"/>
    <m/>
    <m/>
  </r>
  <r>
    <s v="SIM"/>
    <s v="INSERIR SETOR"/>
    <x v="60"/>
    <s v="2T - ROTA/2"/>
    <s v="2T"/>
    <s v="ROTA/2"/>
    <s v="LUCIANE. L"/>
    <s v="LUCIANE LIMA"/>
    <x v="0"/>
    <s v="BR1A312"/>
    <d v="2021-07-05T00:00:00"/>
    <s v="RUA VITORINO FREIRE, 822, JARDIM EUROPA, FEIRA DE SANTANA, BAHIA, BRASIL"/>
    <s v="RUA VITORINO FREIRE"/>
    <n v="822"/>
    <s v="JARDIM EUROPA"/>
    <s v="FEIRA DE SANTANA"/>
    <s v="RUA VITORINO FREIRE, Nº 822 EM FRENTE AO COND: BERGAMO"/>
    <s v="EM FRENTE AO COND: BERGAMO"/>
    <m/>
    <m/>
  </r>
  <r>
    <s v="SIM"/>
    <s v="INSERIR SETOR"/>
    <x v="61"/>
    <s v="1T - ROTA/3"/>
    <s v="1T"/>
    <s v="ROTA/3"/>
    <s v="LUIS ROGERIO. S. S."/>
    <s v="LUIS ROGERIO SOARES SANTANA"/>
    <x v="0"/>
    <s v="BR1A012"/>
    <d v="2011-11-14T00:00:00"/>
    <s v="EM FRENTE AO MOTEL SCALA, N/A, CASEB, FEIRA DE SANTANA, BAHIA, BRASIL"/>
    <s v="EM FRENTE AO MOTEL SCALA"/>
    <s v="N/A"/>
    <s v="CASEB"/>
    <s v="FEIRA DE SANTANA"/>
    <s v="EM FRENTE AO MOTEL SCALA"/>
    <s v="EM FRENTE AO MOTEL SCALA"/>
    <m/>
    <m/>
  </r>
  <r>
    <s v="SIM"/>
    <s v="INSERIR SETOR"/>
    <x v="62"/>
    <s v="1T - ROTA/1"/>
    <s v="1T"/>
    <s v="ROTA/1"/>
    <s v="LUIZ E."/>
    <s v="LUIZ EDUARDO DE OLIVEIRA SANTOS"/>
    <x v="0"/>
    <s v="BR1A010"/>
    <d v="2021-09-20T00:00:00"/>
    <s v="RUA PRINCIPAL DO LIMOEIRO, 15-A, LIMOEIRO, LIMOEIRO, BAHIA, BRASIL"/>
    <s v="RUA PRINCIPAL DO LIMOEIRO"/>
    <s v="15-A"/>
    <s v="LIMOEIRO"/>
    <s v="LIMOEIRO"/>
    <s v="RUA PRINCIPAL DO LIMOEIRO 15-A PONTO DE APANHA : OFICINA LULA BIKE"/>
    <s v="OFICINA LULA BIKE"/>
    <m/>
    <m/>
  </r>
  <r>
    <s v="SIM"/>
    <s v="LIMGER"/>
    <x v="6"/>
    <s v="2T - ROTA/5"/>
    <s v="2T"/>
    <s v="ROTA/5"/>
    <s v="MAIARA S."/>
    <s v="MAIARA SANTOS DE JESUS"/>
    <x v="1"/>
    <s v="BR4A006"/>
    <d v="2025-01-08T00:00:00"/>
    <s v="RUA A, RUA ALEXANDRE BAHIA, N/A, GABRIELA, FEIRA DE SANTANA, BAHIA, BRASIL"/>
    <s v="RUA A, RUA ALEXANDRE BAHIA"/>
    <s v="N/A"/>
    <s v="GABRIELA"/>
    <s v="FEIRA DE SANTANA"/>
    <s v="RUA A, RUA ALEXANDRE BAHIA PROX: GINASIO DE ESPORTE"/>
    <s v="GINASIO DE ESPORTE"/>
    <m/>
    <m/>
  </r>
  <r>
    <s v="SIM"/>
    <s v="INSERIR SETOR"/>
    <x v="63"/>
    <s v="2T - ROTA/2"/>
    <s v="2T"/>
    <s v="ROTA/2"/>
    <s v="MARCILIO. N"/>
    <s v="MARCILIO NERI DE SOUZA"/>
    <x v="0"/>
    <s v="BR2A008"/>
    <d v="2023-06-19T00:00:00"/>
    <s v="RUA CHARLETON, 339, SANTO ANTÔNIO DOS PRAZERES, FEIRA DE SANTANA, BAHIA, BRASIL"/>
    <s v="RUA CHARLETON"/>
    <n v="339"/>
    <s v="SANTO ANTÔNIO DOS PRAZERES"/>
    <s v="FEIRA DE SANTANA"/>
    <s v="RUA CHARLETON, N.º339, REF.: PROX.: AO COND.: ASTECA"/>
    <s v="COND.: ASTECA"/>
    <m/>
    <m/>
  </r>
  <r>
    <s v="SIM"/>
    <s v="INSERIR SETOR"/>
    <x v="64"/>
    <s v="3T - ROTA/1"/>
    <s v="3T"/>
    <s v="ROTA/1"/>
    <s v="Marcio R."/>
    <s v="MARCIO REIS DE OLIVEIRA JUNIOR"/>
    <x v="0"/>
    <s v="BR1A294"/>
    <d v="2023-04-03T00:00:00"/>
    <s v="Rua Nova Iguaçu, 114, CAMPO LIMPO, FEIRA DE SANTANA, BAHIA, BRASIL"/>
    <s v="Rua Nova Iguaçu"/>
    <n v="114"/>
    <s v="CAMPO LIMPO"/>
    <s v="FEIRA DE SANTANA"/>
    <s v="Rua Nova Iguaçu, N° 114"/>
    <s v="Em frente a Barbearia Jhon Mattos"/>
    <m/>
    <m/>
  </r>
  <r>
    <s v="SIM"/>
    <s v="INSERIR SETOR"/>
    <x v="65"/>
    <s v="1T - ROTA/3"/>
    <s v="1T"/>
    <s v="ROTA/3"/>
    <s v="MARCOS W."/>
    <s v="MARCOS WELINGTON VIANA MENEZES"/>
    <x v="0"/>
    <s v="BR1A009"/>
    <d v="2021-07-05T00:00:00"/>
    <s v="RUA INTENDENTE ABDON, 380, QUEIMADINHA, FEIRA DE SANTANA, BAHIA, BRASIL"/>
    <s v="RUA INTENDENTE ABDON"/>
    <n v="380"/>
    <s v="QUEIMADINHA"/>
    <s v="FEIRA DE SANTANA"/>
    <s v="RUA INTENDENTE ABDON, 380 - EM FRENTE AO ABATEODOURO DA ROSY "/>
    <s v="EM FRENTE AO ABATEODOURO DA ROSY"/>
    <m/>
    <m/>
  </r>
  <r>
    <s v="SIM"/>
    <s v="INSERIR SETOR"/>
    <x v="66"/>
    <s v="3T - ROTA/1"/>
    <s v="3T"/>
    <s v="ROTA/1"/>
    <s v="Marcus B."/>
    <s v="MARCUS VINICIUS DE OLIVEIRA BEIRAO"/>
    <x v="0"/>
    <s v="BR1A312"/>
    <d v="2012-09-05T00:00:00"/>
    <s v="Rua Santa Luzia, 19, SÃO JOÃO, FEIRA DE SANTANA, BAHIA, BRASIL"/>
    <s v="Rua Santa Luzia"/>
    <n v="19"/>
    <s v="SÃO JOÃO"/>
    <s v="FEIRA DE SANTANA"/>
    <s v="Rua Santa Luzia, N° 19, Ponto de apanha"/>
    <s v="Fundo do API"/>
    <m/>
    <m/>
  </r>
  <r>
    <s v="SIM"/>
    <s v="LIMGER"/>
    <x v="6"/>
    <s v="1T - ROTA/4"/>
    <s v="1T"/>
    <s v="ROTA/4"/>
    <s v="MARIA A."/>
    <s v="MARIA ANGELICA DO AMARAL BARBOSA"/>
    <x v="1"/>
    <s v="BR4A006"/>
    <d v="2025-01-08T00:00:00"/>
    <s v="AV. SENADOR QUINTINO, 792, OLHOS D'ÁGUA, FEIRA DE SANTANA, BAHIA, BRASIL"/>
    <s v="AV. SENADOR QUINTINO"/>
    <n v="792"/>
    <s v="OLHOS D'ÁGUA"/>
    <s v="FEIRA DE SANTANA"/>
    <s v="AV. SENADOR QUINTINO, N°792"/>
    <s v="AV. SENADOR QUINTINO, N°792"/>
    <m/>
    <m/>
  </r>
  <r>
    <s v="SIM"/>
    <s v="INSERIR SETOR"/>
    <x v="67"/>
    <s v="1T - ROTA/8"/>
    <s v="1T"/>
    <s v="ROTA/8"/>
    <s v="MARIA V."/>
    <s v="MARIA VERBENA SANTOS LIMA"/>
    <x v="0"/>
    <s v="BR1A002"/>
    <d v="2023-05-02T00:00:00"/>
    <s v="LOTEAMENTO AMARALINA - CAMINHO 10, CASA 25, GABRIELA, FEIRA DE SANTANA, BAHIA, BRASIL"/>
    <s v="LOTEAMENTO AMARALINA - CAMINHO 10"/>
    <s v="CASA 25"/>
    <s v="GABRIELA"/>
    <s v="FEIRA DE SANTANA"/>
    <s v="LOTEAMENTO AMARALINA - CAMINHO 10 CASA 25 - PROXIMO A MERCEARIA DISNORMAL DRINK'S"/>
    <s v="PROXIMO A MERCEARIA DISNORMAL DRINK'S"/>
    <m/>
    <m/>
  </r>
  <r>
    <s v="SIM"/>
    <s v="INSERIR SETOR"/>
    <x v="68"/>
    <s v="1T - ROTA/3"/>
    <s v="1T"/>
    <s v="ROTA/3"/>
    <s v="MARIANA. S."/>
    <s v="MARIANA SILVA DOS ANJOS"/>
    <x v="0"/>
    <s v="BR1A010"/>
    <d v="2024-08-05T00:00:00"/>
    <s v="RUA TOCANTINS, 423, SANTA MÔNICA, FEIRA DE SANTANA, BAHIA, BRASIL"/>
    <s v="RUA TOCANTINS"/>
    <n v="423"/>
    <s v="SANTA MÔNICA"/>
    <s v="FEIRA DE SANTANA"/>
    <s v="RUA TOCANTINS, N° 423"/>
    <s v="RUA TOCANTINS, N° 423"/>
    <m/>
    <m/>
  </r>
  <r>
    <s v="SIM"/>
    <s v="INSERIR SETOR"/>
    <x v="69"/>
    <s v="3T - ROTA/1"/>
    <s v="3T"/>
    <s v="ROTA/1"/>
    <s v="Mario.A"/>
    <s v="MARIO ANDERSON SANTANA CARNEIRO"/>
    <x v="0"/>
    <s v="BR1A312"/>
    <d v="2024-06-03T00:00:00"/>
    <s v="Rua Ibicui, 179, MANGABEIRA, FEIRA DE SANTANA, BAHIA, BRASIL"/>
    <s v="Rua Ibicui"/>
    <n v="179"/>
    <s v="MANGABEIRA"/>
    <s v="FEIRA DE SANTANA"/>
    <s v="Rua Ibicui, N° 179"/>
    <m/>
    <m/>
    <m/>
  </r>
  <r>
    <s v="SIM"/>
    <s v="INSERIR SETOR"/>
    <x v="70"/>
    <s v="2T - ROTA/5"/>
    <s v="2T"/>
    <s v="ROTA/5"/>
    <s v="MAXSUEL"/>
    <s v="MAXSUEL COSTA DE SANT ANA"/>
    <x v="0"/>
    <s v="BR1A294"/>
    <d v="2023-06-05T00:00:00"/>
    <s v="RUA CONSTITUINTE, 23, CAMPO LIMPO, FEIRA DE SANTANA, BAHIA, BRASIL"/>
    <s v="RUA CONSTITUINTE"/>
    <n v="23"/>
    <s v="CAMPO LIMPO"/>
    <s v="FEIRA DE SANTANA"/>
    <s v="RUA CONSTITUINTE N° 23, REF.: MATERIAL DE CONSTRUÇÃO CONSTRUFEIRA"/>
    <s v="MATERIAL DE CONSTRUÇÃO CONSTRUFEIRA"/>
    <m/>
    <m/>
  </r>
  <r>
    <s v="SIM"/>
    <s v="INSERIR SETOR"/>
    <x v="71"/>
    <s v="1T - ROTA/7"/>
    <s v="1T"/>
    <s v="ROTA/7"/>
    <s v="MIRABELLE. N"/>
    <s v="MIRABELE CERQUEIRA SANTANA NASCIMENTO"/>
    <x v="0"/>
    <s v="BR1A002"/>
    <d v="2014-10-20T00:00:00"/>
    <s v="AO LADO DA IGREJA ASSEMBLEIA DE DEUS - R. JAILDO CUNHA DE JESUS, 69, CONCEIÇÃO DO JACUIPE, FEIRA DE SANTANA, BAHIA, BRASIL"/>
    <s v="AO LADO DA IGREJA ASSEMBLEIA DE DEUS - R. JAILDO CUNHA DE JESUS"/>
    <n v="69"/>
    <s v="CONCEIÇÃO DO JACUIPE"/>
    <s v="FEIRA DE SANTANA"/>
    <s v="AO LADO DA IGREJA ASSEMBLEIA DE DEUS - R. JAILDO CUNHA DE JESUS 69 - LOT. JOEL CAETANO"/>
    <s v="LOT. JOEL CAETANO"/>
    <m/>
    <m/>
  </r>
  <r>
    <s v="SIM"/>
    <s v="INSERIR SETOR"/>
    <x v="72"/>
    <s v="1T - ROTA/3"/>
    <s v="1T"/>
    <s v="ROTA/3"/>
    <s v="MIRIAN. R"/>
    <s v="MIRIAN RANGEL SILVA SANTANA"/>
    <x v="0"/>
    <s v="BR1A010"/>
    <d v="2021-01-18T00:00:00"/>
    <s v="RUA TUIUCA, N/A, JOÃO PAULO, FEIRA DE SANTANA, BAHIA, BRASIL"/>
    <s v="RUA TUIUCA"/>
    <s v="N/A"/>
    <s v="JOÃO PAULO"/>
    <s v="FEIRA DE SANTANA"/>
    <s v="RUA TUIUCA - EM FRENTE A IGREJA BATISTA PALAVRA DA VIDA"/>
    <s v="EM FRENTE A IGREJA BATISTA PALAVRA DA VIDA"/>
    <m/>
    <m/>
  </r>
  <r>
    <s v="SIM"/>
    <s v="INSERIR SETOR"/>
    <x v="73"/>
    <s v="ADM - ROTA/4"/>
    <s v="ADM"/>
    <s v="ROTA/4"/>
    <s v="NEY. R"/>
    <s v="NEY DE OLIVEIRA RAMOS"/>
    <x v="0"/>
    <s v="BR2A032"/>
    <d v="2012-02-09T00:00:00"/>
    <s v="RUA VASCO FILHO, 590, SERRARIA BRASIL, FEIRA DE SANTANA, BAHIA, BRASIL"/>
    <s v="RUA VASCO FILHO"/>
    <n v="590"/>
    <s v="SERRARIA BRASIL"/>
    <s v="FEIRA DE SANTANA"/>
    <s v="RUA VASCO FILHO"/>
    <s v="PROX: AO PONTO DO FRANGO"/>
    <m/>
    <m/>
  </r>
  <r>
    <s v="SIM"/>
    <s v="INSERIR SETOR"/>
    <x v="74"/>
    <s v="1T - ROTA/6"/>
    <s v="1T"/>
    <s v="ROTA/6"/>
    <s v="NYLTON. J"/>
    <s v="NYLTON SOUSA JUNIOR"/>
    <x v="0"/>
    <s v="BR2A032"/>
    <d v="2014-08-18T00:00:00"/>
    <s v="COND. VIVACE PAPAGAIO, N/A, PAPAGAIO, FEIRA DE SANTANA, BAHIA, BRASIL"/>
    <s v="COND. VIVACE PAPAGAIO"/>
    <s v="N/A"/>
    <s v="PAPAGAIO"/>
    <s v="FEIRA DE SANTANA"/>
    <s v="COND. VIVACE PAPAGAIO"/>
    <s v="COND. VIVACE PAPAGAIO"/>
    <m/>
    <m/>
  </r>
  <r>
    <s v="SIM"/>
    <s v="INSERIR SETOR"/>
    <x v="75"/>
    <s v="2T - ROTA/2"/>
    <s v="2T"/>
    <s v="ROTA/2"/>
    <s v="PAULO R."/>
    <s v="PAULO ROBERTO PALMEIRA DA SILVA"/>
    <x v="0"/>
    <s v="BR1A294"/>
    <d v="2021-07-05T00:00:00"/>
    <s v="RUA 7, JARDIM EUROPA, 145, MANGABEIRA, FEIRA DE SANTANA, BAHIA, BRASIL"/>
    <s v="RUA 7, JARDIM EUROPA"/>
    <n v="145"/>
    <s v="MANGABEIRA"/>
    <s v="FEIRA DE SANTANA"/>
    <s v="RUA 7, Nº 145 JARDIM EUROPA, PONTO DE APANHA EM FRENTE A PRAÇA"/>
    <s v="A PRAÇA"/>
    <m/>
    <m/>
  </r>
  <r>
    <s v="SIM"/>
    <s v="INSERIR SETOR"/>
    <x v="76"/>
    <s v="ADM - ROTA/4"/>
    <s v="ADM"/>
    <s v="ROTA/4"/>
    <s v="RAILANE. B"/>
    <s v="RAILANE SANTOS BRITO"/>
    <x v="0"/>
    <s v="BR1A002"/>
    <d v="2015-08-03T00:00:00"/>
    <s v="RUA DA PAZ, 107, BRASILIA, FEIRA DE SANTANA, BAHIA, BRASIL"/>
    <s v="RUA DA PAZ"/>
    <n v="107"/>
    <s v="BRASILIA"/>
    <s v="FEIRA DE SANTANA"/>
    <s v="RUA DA PAZ"/>
    <s v="PROX: A QUITANDA DA MADEIRA"/>
    <m/>
    <m/>
  </r>
  <r>
    <s v="SIM"/>
    <s v="INSERIR SETOR"/>
    <x v="77"/>
    <s v="2T - ROTA/1"/>
    <s v="2T"/>
    <s v="ROTA/1"/>
    <s v="RAIMUNDO. O"/>
    <s v="RAIMUNDO DE OLIVEIRA DUARTE"/>
    <x v="0"/>
    <s v="BR1A294"/>
    <d v="2023-10-02T00:00:00"/>
    <s v="CONDOMINIO CENTRAL PARK, N/A, RUA NOVA, FEIRA DE SANTANA, BAHIA, BRASIL"/>
    <s v="CONDOMINIO CENTRAL PARK"/>
    <s v="N/A"/>
    <s v="RUA NOVA"/>
    <s v="FEIRA DE SANTANA"/>
    <s v="CONDOMINIO CENTRAL PARK"/>
    <s v="CONDOMINIO CENTRAL PARK"/>
    <m/>
    <m/>
  </r>
  <r>
    <s v="SIM"/>
    <s v="LIMGER"/>
    <x v="6"/>
    <s v="ADM - ROTA/7"/>
    <s v="ADM"/>
    <s v="ROTA/7"/>
    <s v="REGILSON CARLOS O."/>
    <s v="REGILSON CARLOS OLIVEIRA"/>
    <x v="1"/>
    <s v="BR4A006"/>
    <d v="2025-01-08T00:00:00"/>
    <s v="Rua do Mercado, N/A, HUMILDES, HUMILDES, BAHIA, BRASIL"/>
    <s v="Rua do Mercado"/>
    <s v="N/A"/>
    <s v="HUMILDES"/>
    <s v="HUMILDES"/>
    <s v="EM FRENTE AO MERCADO MUNICIPAL"/>
    <s v="MERCADO MUNICIPAL"/>
    <m/>
    <m/>
  </r>
  <r>
    <s v="SIM"/>
    <s v="INSERIR SETOR"/>
    <x v="78"/>
    <s v="2T - ROTA/4"/>
    <s v="2T"/>
    <s v="ROTA/4"/>
    <s v="REGINALDO. C"/>
    <s v="REGINALDO CERQUEIRA SANTIAGO"/>
    <x v="0"/>
    <s v="BR1A004"/>
    <d v="2011-08-01T00:00:00"/>
    <s v="RUA TELES, 170, HUMILDES, HUMILDES, BAHIA, BRASIL"/>
    <s v="RUA TELES"/>
    <n v="170"/>
    <s v="HUMILDES"/>
    <s v="HUMILDES"/>
    <s v="RUA TELES, Nº 170, PONTO DE APANHA EM FRENTE AO ARMADINHO LN VARIEDADES"/>
    <s v="ARMADINHO LN VARIEDADES"/>
    <m/>
    <m/>
  </r>
  <r>
    <s v="SIM"/>
    <s v="INSERIR SETOR"/>
    <x v="79"/>
    <s v="1T - ROTA/5"/>
    <s v="1T"/>
    <s v="ROTA/5"/>
    <s v="REIJANE A"/>
    <s v="REIJANE ARAUJO DA SILVA"/>
    <x v="0"/>
    <s v="BR1A009"/>
    <d v="2022-09-12T00:00:00"/>
    <s v="RUA SALMO VINTE E QUATRO, 5, FRATERNIDADE, FEIRA DE SANTANA, BAHIA, BRASIL"/>
    <s v="RUA SALMO VINTE E QUATRO"/>
    <n v="5"/>
    <s v="FRATERNIDADE"/>
    <s v="FEIRA DE SANTANA"/>
    <s v="RUA SALMO VINTE E QUATRO, N° 05, ATRÁS DO MERCADO DO POVO"/>
    <s v="ATRÁS DO MERCADO DO POVO"/>
    <m/>
    <m/>
  </r>
  <r>
    <s v="SIM"/>
    <s v="INSERIR SETOR"/>
    <x v="80"/>
    <s v="1T - ROTA/5"/>
    <s v="1T"/>
    <s v="ROTA/5"/>
    <s v="RENATA B."/>
    <s v="RENATA BARBOSA DOS SANTOS LEMOS"/>
    <x v="0"/>
    <s v="BR1A009"/>
    <d v="2024-09-02T00:00:00"/>
    <s v="RUA SALMO 40, N/A, TOMBA, FEIRA DE SANTANA, BAHIA, BRASIL"/>
    <s v="RUA SALMO 40"/>
    <s v="N/A"/>
    <s v="TOMBA"/>
    <s v="FEIRA DE SANTANA"/>
    <s v="RUA SALMO 40, CONJ. FRATERNIDADE"/>
    <s v="CONJ. FRATERNIDADE"/>
    <m/>
    <m/>
  </r>
  <r>
    <s v="SIM"/>
    <s v="INSERIR SETOR"/>
    <x v="81"/>
    <s v="1T - ROTA/5"/>
    <s v="1T"/>
    <s v="ROTA/5"/>
    <s v="RENATO J."/>
    <s v="RENATO DE JESUS LACERDA"/>
    <x v="0"/>
    <s v="BR1A007"/>
    <d v="2022-09-05T00:00:00"/>
    <s v="RUA LEOGEVILDO LACERDA, 500, AVIARIO, FEIRA DE SANTANA, BAHIA, BRASIL"/>
    <s v="RUA LEOGEVILDO LACERDA"/>
    <n v="500"/>
    <s v="AVIARIO"/>
    <s v="FEIRA DE SANTANA"/>
    <s v="RUA LEOGEVILDO LACERDA, N° 500, REF: PROX. A ANTIGA CRECHE AMA"/>
    <s v="PROX. A ANTIGA CRECHE AMA"/>
    <m/>
    <m/>
  </r>
  <r>
    <s v="SIM"/>
    <s v="INSERIR SETOR"/>
    <x v="82"/>
    <s v="1T - ROTA/5"/>
    <s v="1T"/>
    <s v="ROTA/5"/>
    <s v="ROBSON. C"/>
    <s v="ROBSON SANTOS COSTA"/>
    <x v="0"/>
    <s v="BR1A294"/>
    <d v="2016-04-11T00:00:00"/>
    <s v="RUA GRACIANE DIAS, 113, LIBERDADE, FEIRA DE SANTANA, BAHIA, BRASIL"/>
    <s v="RUA GRACIANE DIAS"/>
    <n v="113"/>
    <s v="LIBERDADE"/>
    <s v="FEIRA DE SANTANA"/>
    <s v="RUA GRACIANE DIAS, Nº 113, PROX: MERCADINHO JERUSALEM"/>
    <s v="MERCADINHO JERUSALEM"/>
    <m/>
    <m/>
  </r>
  <r>
    <s v="SIM"/>
    <s v="INSERIR SETOR"/>
    <x v="83"/>
    <s v="2T - ROTA/2"/>
    <s v="2T"/>
    <s v="ROTA/2"/>
    <s v="RODRIGO M."/>
    <s v="RODRIGO MATOS DA SILVA NASCIMENTO"/>
    <x v="0"/>
    <s v="BR1A012"/>
    <d v="2019-06-03T00:00:00"/>
    <s v="RUA ROCHA POMBO, 219, CONCEIÇÃO I, FEIRA DE SANTANA, BAHIA, BRASIL"/>
    <s v="RUA ROCHA POMBO"/>
    <n v="219"/>
    <s v="CONCEIÇÃO I"/>
    <s v="FEIRA DE SANTANA"/>
    <s v="RUA ROCHA POMBO, Nº219, PONTO DE APANHA EM FRENTE AO MERCADINHO SOL NASCENTE."/>
    <s v="MERCADINHO SOL NASCENTE"/>
    <m/>
    <m/>
  </r>
  <r>
    <s v="SIM"/>
    <s v="INSERIR SETOR"/>
    <x v="84"/>
    <s v="ADM - ROTA/4"/>
    <s v="ADM"/>
    <s v="ROTA/4"/>
    <s v="RONALT S. S."/>
    <s v="RONALT DE SOUZA SIMAS"/>
    <x v="0"/>
    <s v="BR1A004"/>
    <d v="2024-10-14T00:00:00"/>
    <s v="RUA MILAO, 886, BRASILIA, FEIRA DE SANTANA, BAHIA, BRASIL"/>
    <s v="RUA MILAO"/>
    <n v="886"/>
    <s v="BRASILIA"/>
    <s v="FEIRA DE SANTANA"/>
    <s v="RUA MILAO"/>
    <s v="PROX A JC TURISMO"/>
    <m/>
    <m/>
  </r>
  <r>
    <s v="SIM"/>
    <s v="LIMGER"/>
    <x v="6"/>
    <s v="2T - ROTA/3"/>
    <s v="2T"/>
    <s v="ROTA/3"/>
    <s v="ROSANGELA S."/>
    <s v="ROSANGELA SOUZA DOS SANTOS CARVALHO"/>
    <x v="1"/>
    <s v="BR4A006"/>
    <d v="2025-01-08T00:00:00"/>
    <s v="RUA DOUTOR SIMOES FILHO, 41, PONTO CENTRAL, FEIRA DE SANTANA, BAHIA, BRASIL"/>
    <s v="RUA DOUTOR SIMOES FILHO"/>
    <n v="41"/>
    <s v="PONTO CENTRAL"/>
    <s v="FEIRA DE SANTANA"/>
    <s v="RUA DOUTOR SIMOES FILHO 41 EM FRENTE; TAINÁ S´TUDIO"/>
    <s v="TAINÁ S´TUDIO"/>
    <m/>
    <m/>
  </r>
  <r>
    <s v="SIM"/>
    <s v="INSERIR SETOR"/>
    <x v="85"/>
    <s v="1T - ROTA/1"/>
    <s v="1T"/>
    <s v="ROTA/1"/>
    <s v="ROSENEIDE. C"/>
    <s v="ROSENEIDE SANTANA CRUZ"/>
    <x v="0"/>
    <s v="BR1A312"/>
    <d v="2018-12-03T00:00:00"/>
    <s v="RUA A LOTEAMENTO AGNELO COSTA, 385, HUMILDES, HUMILDES, BAHIA, BRASIL"/>
    <s v="RUA A LOTEAMENTO AGNELO COSTA"/>
    <n v="385"/>
    <s v="HUMILDES"/>
    <s v="HUMILDES"/>
    <s v="RUA A LOTEAMENTO AGNELO COSTA, N° 385, PROX: COLEGIO GERALDO DIAS"/>
    <s v="PROX: COLEGIO GERALDO DIAS"/>
    <m/>
    <m/>
  </r>
  <r>
    <s v="SIM"/>
    <s v="INSERIR SETOR"/>
    <x v="86"/>
    <s v="1T - ROTA/7"/>
    <s v="1T"/>
    <s v="ROTA/7"/>
    <s v="SAMUEL. A"/>
    <s v="SAMUEL DE ALMEIDA ALVES"/>
    <x v="0"/>
    <s v="BR1A312"/>
    <d v="2015-09-21T00:00:00"/>
    <s v="RUA AMANDA DE A SSIS COSTA, 115, AMELIA RODRIGUES, AMELIA RODRIGUES, BAHIA, BRASIL"/>
    <s v="RUA AMANDA DE A SSIS COSTA"/>
    <n v="115"/>
    <s v="AMELIA RODRIGUES"/>
    <s v="AMELIA RODRIGUES"/>
    <s v="RUA AMANDA DE A SSIS COSTA N°115 PONTO DE APANHA EM FRENTE A GM ANDAMES"/>
    <s v="EM FRENTE A GM ANDAMES"/>
    <m/>
    <m/>
  </r>
  <r>
    <s v="SIM"/>
    <s v="INSERIR SETOR"/>
    <x v="87"/>
    <s v="1T - ROTA/4"/>
    <s v="1T"/>
    <s v="ROTA/4"/>
    <s v="SILVIO. F"/>
    <s v="SILVIO FERNANDO DE CARVALHO VASCONCELOS"/>
    <x v="0"/>
    <s v="BR1A009"/>
    <d v="2017-10-16T00:00:00"/>
    <s v="RUA CLOVIS BEVILAQUA, 251, SERRARIA BRASIL, FEIRA DE SANTANA, BAHIA, BRASIL"/>
    <s v="RUA CLOVIS BEVILAQUA"/>
    <n v="251"/>
    <s v="SERRARIA BRASIL"/>
    <s v="FEIRA DE SANTANA"/>
    <s v="RUA CLOVIS BEVILAQUA, N° 251"/>
    <s v="RUA CLOVIS BEVILAQUA, N° 251"/>
    <m/>
    <m/>
  </r>
  <r>
    <s v="SIM"/>
    <s v="INSERIR SETOR"/>
    <x v="88"/>
    <s v="1T - ROTA/8"/>
    <s v="1T"/>
    <s v="ROTA/8"/>
    <s v="THARCISIO S."/>
    <s v="THARCISIO DOS SANTOS SENA"/>
    <x v="0"/>
    <s v="BR1A312"/>
    <d v="2020-11-16T00:00:00"/>
    <s v="RUA PETRÓPOLIS, 167, CAMPO LIMPO, FEIRA DE SANTANA, BAHIA, BRASIL"/>
    <s v="RUA PETRÓPOLIS"/>
    <n v="167"/>
    <s v="CAMPO LIMPO"/>
    <s v="FEIRA DE SANTANA"/>
    <s v="RUA PETRÓPOLIS, N° 167 EM FRENTE AO DEPOSITO DE AGUA"/>
    <s v="EM FRENTE AO DEPOSITO DE AGUA"/>
    <m/>
    <m/>
  </r>
  <r>
    <s v="SIM"/>
    <s v="INSERIR SETOR"/>
    <x v="89"/>
    <s v="3T - ROTA/2"/>
    <s v="3T"/>
    <s v="ROTA/2"/>
    <s v="Ubaldo. R"/>
    <s v="UBALDO RAMOS NETO"/>
    <x v="0"/>
    <s v="BR1A312"/>
    <d v="2022-11-07T00:00:00"/>
    <s v="Rua Vasco Filho, 590, SERRARIA BRASIL, FEIRA DE SANTANA, BAHIA, BRASIL"/>
    <s v="Rua Vasco Filho"/>
    <n v="590"/>
    <s v="SERRARIA BRASIL"/>
    <s v="FEIRA DE SANTANA"/>
    <s v="Rua Vasco Filho, N° 590"/>
    <s v="Em frente ao Ponto do Frango"/>
    <m/>
    <m/>
  </r>
  <r>
    <s v="SIM"/>
    <s v="INSERIR SETOR"/>
    <x v="90"/>
    <s v="2T - ROTA/3"/>
    <s v="2T"/>
    <s v="ROTA/3"/>
    <s v="VAGNER. C"/>
    <s v="VAGNER CORREIA AMORIM"/>
    <x v="0"/>
    <s v="BR1A312"/>
    <d v="2015-09-08T00:00:00"/>
    <s v="RUA AMAZONA, 13, QUEIMADINHA, FEIRA DE SANTANA, BAHIA, BRASIL"/>
    <s v="RUA AMAZONA"/>
    <n v="13"/>
    <s v="QUEIMADINHA"/>
    <s v="FEIRA DE SANTANA"/>
    <s v="RUA AMAZONA Nº 13 PROX A CRECHE"/>
    <s v="A CRECHE"/>
    <m/>
    <m/>
  </r>
  <r>
    <s v="SIM"/>
    <s v="INSERIR SETOR"/>
    <x v="91"/>
    <s v="1T - ROTA/10"/>
    <s v="1T"/>
    <s v="ROTA/10"/>
    <s v="VALLENO. L"/>
    <s v="VALLENO LIMA SENA"/>
    <x v="0"/>
    <s v="BR1A010"/>
    <d v="2013-04-08T00:00:00"/>
    <s v="RUA A, CAMINHO 39, N/A, FEIRA VI, FEIRA DE SANTANA, BAHIA, BRASIL"/>
    <s v="RUA A, CAMINHO 39"/>
    <s v="N/A"/>
    <s v="FEIRA VI"/>
    <s v="FEIRA DE SANTANA"/>
    <s v="RUA A, CAMINHO 39 - CONJ. FEIRA VI"/>
    <s v="CONJ. FEIRA VI"/>
    <m/>
    <m/>
  </r>
  <r>
    <s v="SIM"/>
    <s v="INSERIR SETOR"/>
    <x v="92"/>
    <s v="1T - ROTA/6"/>
    <s v="1T"/>
    <s v="ROTA/6"/>
    <s v="VYCTOR H."/>
    <s v="VYTOR HUGO LIMA BARROS"/>
    <x v="0"/>
    <s v="BR1A012"/>
    <d v="2025-02-10T00:00:00"/>
    <s v="RUA ATENAS, 298, PAPAGAIO, FEIRA DE SANTANA, BAHIA, BRASIL"/>
    <s v="RUA ATENAS"/>
    <n v="298"/>
    <s v="PAPAGAIO"/>
    <s v="FEIRA DE SANTANA"/>
    <s v="RUA ATENAS Nº 298 - PERTO DO CAMPO"/>
    <s v="PERTO DO CAMPO"/>
    <m/>
    <m/>
  </r>
  <r>
    <s v="SIM"/>
    <s v="INSERIR SETOR"/>
    <x v="93"/>
    <s v="2T - ROTA/5"/>
    <s v="2T"/>
    <s v="ROTA/5"/>
    <s v="WALTER C."/>
    <s v="WALTER CARIBE RIBEIRO DA SILVA"/>
    <x v="0"/>
    <s v="BR1A004"/>
    <d v="2025-05-05T00:00:00"/>
    <s v="RUA MARIA ALVES BRASIL, 47, CAMPO LIMPO, FEIRA DE SANTANA, BAHIA, BRASIL"/>
    <s v="RUA MARIA ALVES BRASIL"/>
    <n v="47"/>
    <s v="CAMPO LIMPO"/>
    <s v="FEIRA DE SANTANA"/>
    <s v="RUA MARIA ALVES BRASIL, N°47"/>
    <m/>
    <m/>
    <m/>
  </r>
  <r>
    <s v="SIM"/>
    <s v="INSERIR SETOR"/>
    <x v="94"/>
    <s v="1T - ROTA/9"/>
    <s v="1T"/>
    <s v="ROTA/9"/>
    <s v="WASHINGTON J. A"/>
    <s v="WASHINGTON DE JESUS ALMEIDA"/>
    <x v="0"/>
    <s v="BR1A004"/>
    <d v="2024-03-04T00:00:00"/>
    <s v="PRAÇA MACHADO, N/A, SÃO GONÇALO DOS CAMPOS, SÃO GONÇALO DOS CAMPOS, BAHIA, BRASIL"/>
    <s v="PRAÇA MACHADO"/>
    <s v="N/A"/>
    <s v="SÃO GONÇALO DOS CAMPOS"/>
    <s v="SÃO GONÇALO DOS CAMPOS"/>
    <s v="PRAÇA MACHADO - EM FRENTE A CAIXA ECONOMICA"/>
    <s v="EM FRENTE A CAIXA ECONOMICA"/>
    <m/>
    <m/>
  </r>
  <r>
    <s v="SIM"/>
    <s v="INSERIR SETOR"/>
    <x v="95"/>
    <s v="3T - ROTA/2"/>
    <s v="3T"/>
    <s v="ROTA/2"/>
    <s v="Wemerson.S"/>
    <s v="WEMERSON SANTOS MARTINS"/>
    <x v="0"/>
    <s v="BR1A312"/>
    <d v="2024-04-01T00:00:00"/>
    <s v="Rua Itauna, 320, TOMBA, FEIRA DE SANTANA, BAHIA, BRASIL"/>
    <s v="Rua Itauna"/>
    <n v="320"/>
    <s v="TOMBA"/>
    <s v="FEIRA DE SANTANA"/>
    <s v="Rua Itauna, N° 320"/>
    <m/>
    <m/>
    <m/>
  </r>
  <r>
    <s v="SIM"/>
    <s v="PEPSICO"/>
    <x v="6"/>
    <m/>
    <s v="1T"/>
    <m/>
    <s v="WESLEY.F"/>
    <s v="WESLEY DE FREITAS ROCHA"/>
    <x v="0"/>
    <s v="BR1A013"/>
    <m/>
    <s v="RUA JOSÉ DIOGO DE ARAÚJO, 115, MANGABEIRA, FEIRA DE SANTANA, BAHIA, BRASIL"/>
    <s v="RUA JOSÉ DIOGO DE ARAÚJO"/>
    <n v="115"/>
    <s v="MANGABEIRA"/>
    <s v="FEIRA DE SANTANA"/>
    <m/>
    <m/>
    <m/>
    <m/>
  </r>
  <r>
    <s v="SIM"/>
    <s v="INSERIR SETOR"/>
    <x v="96"/>
    <s v="ADM - ROTA/5"/>
    <s v="ADM"/>
    <s v="ROTA/5"/>
    <s v="WYLTON. S"/>
    <s v="WYLTON DE JESUS SILVA SOUSA"/>
    <x v="0"/>
    <s v="BR2A032"/>
    <d v="2011-05-02T00:00:00"/>
    <s v="RUA PERO VAZ, 52, SOBRADINHO, FEIRA DE SANTANA, BAHIA, BRASIL"/>
    <s v="RUA PERO VAZ"/>
    <n v="52"/>
    <s v="SOBRADINHO"/>
    <s v="FEIRA DE SANTANA"/>
    <s v="RUA PERO VAZ"/>
    <m/>
    <m/>
    <m/>
  </r>
  <r>
    <s v="SIM"/>
    <s v="INSERIR SETOR"/>
    <x v="97"/>
    <s v="1T - ROTA/8"/>
    <s v="1T"/>
    <s v="ROTA/8"/>
    <s v="YASMIN C."/>
    <s v="YASMIN CRUZ LOPES"/>
    <x v="0"/>
    <s v="BR1A002"/>
    <m/>
    <s v="RUA J, 11, CAMPO LIMPO, FEIRA DE SANTANA, BAHIA, BRASIL"/>
    <s v="RUA J"/>
    <n v="11"/>
    <s v="CAMPO LIMPO"/>
    <s v="FEIRA DE SANTANA"/>
    <s v="RUA J, N° 11 - ANTIGO COLÉGIO ESTADUAL FERREIRA PINTO"/>
    <s v="ANTIGO COLÉGIO ESTADUAL FERREIRA PINTO"/>
    <m/>
    <m/>
  </r>
  <r>
    <s v="SIM"/>
    <s v="MANPOWER"/>
    <x v="6"/>
    <s v="1T - ROTA/8"/>
    <s v="1T"/>
    <s v="ROTA/8"/>
    <s v="THIAGO O."/>
    <m/>
    <x v="3"/>
    <s v="BR1A312"/>
    <m/>
    <s v="RUA DA PAZ, 50, GABRIELA, FEIRA DE SANTANA, BAHIA, BRASIL"/>
    <s v="RUA DA PAZ"/>
    <n v="50"/>
    <s v="GABRIELA"/>
    <s v="FEIRA DE SANTANA"/>
    <s v="RUA DA PAZ, N° 50 - APANHA EM FRENTE A IGREJA MINISTERIO PENTESCOSTAL PROFETICO"/>
    <s v="EM FRENTE A IGREJA MINISTERIO PENTESCOSTAL PROFETICO"/>
    <m/>
    <m/>
  </r>
  <r>
    <s v="SIM"/>
    <s v="PEPSICO"/>
    <x v="6"/>
    <s v="ADM - ROTA/8"/>
    <s v="ADM"/>
    <s v="ROTA/8"/>
    <s v="ANA PAULA - QUALIDADE"/>
    <m/>
    <x v="0"/>
    <s v="BR1A002"/>
    <m/>
    <s v="POSTO PETROBRAS, AV. PRESIDENTE DULTRA, S/N, BRASILIA, FEIRA DE SANTANA, BAHIA, BRASIL"/>
    <s v="POSTO PETROBRAS, AV. PRESIDENTE DULTRA"/>
    <s v="S/N"/>
    <s v="BRASILIA"/>
    <s v="FEIRA DE SANTANA"/>
    <m/>
    <m/>
    <m/>
    <m/>
  </r>
  <r>
    <s v="SIM"/>
    <s v="LIMGER"/>
    <x v="6"/>
    <s v="ADM ESPECIAL - ROTA/3"/>
    <s v="ADM ESPECIAL"/>
    <s v="ROTA/3"/>
    <s v="NAIANE DE JESUS S."/>
    <m/>
    <x v="1"/>
    <s v="BR4A006"/>
    <m/>
    <s v="RUA MONGI DAS CRUZES, S/N, SÃO JOÃO, FEIRA DE SANTANA, BAHIA, BRASIL"/>
    <s v="RUA MONGI DAS CRUZES"/>
    <s v="S/N"/>
    <s v="SÃO JOÃO"/>
    <s v="FEIRA DE SANTANA"/>
    <s v="AO LADO DO COLEGIO JUIZ JORGE FARIAS GOES 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4F5C6-5650-4630-BEBF-471404ECA100}" name="Tabela Dinâmica1" cacheId="137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C39" firstHeaderRow="1" firstDataRow="1" firstDataCol="2"/>
  <pivotFields count="19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5">
        <item x="11"/>
        <item x="23"/>
        <item x="24"/>
        <item x="21"/>
        <item x="4"/>
        <item x="22"/>
        <item x="8"/>
        <item x="1"/>
        <item x="5"/>
        <item x="17"/>
        <item x="19"/>
        <item x="9"/>
        <item x="12"/>
        <item x="20"/>
        <item x="0"/>
        <item x="2"/>
        <item x="7"/>
        <item x="13"/>
        <item x="6"/>
        <item x="3"/>
        <item x="18"/>
        <item x="14"/>
        <item x="15"/>
        <item x="16"/>
        <item x="1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7">
        <item x="6"/>
        <item x="10"/>
        <item x="16"/>
        <item x="3"/>
        <item x="15"/>
        <item x="11"/>
        <item x="13"/>
        <item x="8"/>
        <item x="12"/>
        <item x="5"/>
        <item x="2"/>
        <item x="0"/>
        <item x="7"/>
        <item x="1"/>
        <item x="4"/>
        <item x="14"/>
        <item x="9"/>
      </items>
    </pivotField>
    <pivotField compact="0" numFmtId="1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6"/>
    <field x="11"/>
  </rowFields>
  <rowItems count="37">
    <i>
      <x/>
      <x v="1"/>
    </i>
    <i>
      <x v="1"/>
      <x v="4"/>
    </i>
    <i>
      <x v="2"/>
      <x v="2"/>
    </i>
    <i>
      <x v="3"/>
      <x v="6"/>
    </i>
    <i>
      <x v="4"/>
      <x v="14"/>
    </i>
    <i>
      <x v="5"/>
      <x v="15"/>
    </i>
    <i>
      <x v="6"/>
      <x/>
    </i>
    <i r="1">
      <x v="5"/>
    </i>
    <i>
      <x v="7"/>
      <x v="3"/>
    </i>
    <i r="1">
      <x v="10"/>
    </i>
    <i r="1">
      <x v="11"/>
    </i>
    <i r="1">
      <x v="12"/>
    </i>
    <i r="1">
      <x v="13"/>
    </i>
    <i>
      <x v="8"/>
      <x v="14"/>
    </i>
    <i>
      <x v="9"/>
      <x v="6"/>
    </i>
    <i>
      <x v="10"/>
      <x v="6"/>
    </i>
    <i>
      <x v="11"/>
      <x v="7"/>
    </i>
    <i r="1">
      <x v="8"/>
    </i>
    <i>
      <x v="12"/>
      <x v="5"/>
    </i>
    <i>
      <x v="13"/>
      <x v="6"/>
    </i>
    <i>
      <x v="14"/>
      <x v="3"/>
    </i>
    <i r="1">
      <x v="10"/>
    </i>
    <i r="1">
      <x v="11"/>
    </i>
    <i r="1">
      <x v="12"/>
    </i>
    <i r="1">
      <x v="13"/>
    </i>
    <i>
      <x v="15"/>
      <x v="7"/>
    </i>
    <i r="1">
      <x v="10"/>
    </i>
    <i>
      <x v="16"/>
      <x v="9"/>
    </i>
    <i>
      <x v="17"/>
      <x v="5"/>
    </i>
    <i>
      <x v="18"/>
      <x v="14"/>
    </i>
    <i>
      <x v="19"/>
      <x v="14"/>
    </i>
    <i>
      <x v="20"/>
      <x v="6"/>
    </i>
    <i>
      <x v="21"/>
      <x v="6"/>
    </i>
    <i>
      <x v="22"/>
      <x v="6"/>
    </i>
    <i>
      <x v="23"/>
      <x v="6"/>
    </i>
    <i>
      <x v="24"/>
      <x v="16"/>
    </i>
    <i t="grand">
      <x/>
    </i>
  </rowItems>
  <colItems count="1">
    <i/>
  </colItems>
  <dataFields count="1">
    <dataField name="Contagem de NO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40399-97A1-473E-8920-65981576CA2A}" name="Tabela Dinâmica2" cacheId="13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B8" firstHeaderRow="1" firstDataRow="1" firstDataCol="2"/>
  <pivotFields count="20">
    <pivotField compact="0" outline="0" showAll="0"/>
    <pivotField compact="0" outline="0" showAll="0"/>
    <pivotField axis="axisRow" compact="0" outline="0" showAll="0">
      <items count="99">
        <item h="1" x="96"/>
        <item h="1" x="8"/>
        <item h="1" x="78"/>
        <item h="1" x="23"/>
        <item h="1" x="57"/>
        <item h="1" x="61"/>
        <item h="1" x="22"/>
        <item h="1" x="73"/>
        <item h="1" x="0"/>
        <item h="1" x="39"/>
        <item h="1" x="43"/>
        <item h="1" x="66"/>
        <item h="1" x="59"/>
        <item h="1" x="3"/>
        <item h="1" x="91"/>
        <item h="1" x="14"/>
        <item h="1" x="40"/>
        <item h="1" x="27"/>
        <item h="1" x="74"/>
        <item h="1" x="25"/>
        <item h="1" x="1"/>
        <item h="1" x="71"/>
        <item h="1" x="45"/>
        <item h="1" x="28"/>
        <item h="1" x="76"/>
        <item h="1" x="90"/>
        <item h="1" x="44"/>
        <item h="1" x="86"/>
        <item h="1" x="31"/>
        <item h="1" x="49"/>
        <item h="1" x="82"/>
        <item h="1" x="7"/>
        <item h="1" x="10"/>
        <item h="1" x="5"/>
        <item h="1" x="87"/>
        <item h="1" x="30"/>
        <item h="1" x="85"/>
        <item h="1" x="48"/>
        <item h="1" x="17"/>
        <item h="1" x="29"/>
        <item h="1" x="55"/>
        <item h="1" x="83"/>
        <item h="1" x="19"/>
        <item h="1" x="88"/>
        <item h="1" x="51"/>
        <item h="1" x="72"/>
        <item h="1" x="4"/>
        <item h="1" x="60"/>
        <item h="1" x="75"/>
        <item h="1" x="65"/>
        <item h="1" x="24"/>
        <item h="1" x="34"/>
        <item h="1" x="42"/>
        <item h="1" x="62"/>
        <item h="1" x="20"/>
        <item h="1" x="12"/>
        <item h="1" x="38"/>
        <item h="1" x="16"/>
        <item h="1" x="54"/>
        <item h="1" x="81"/>
        <item h="1" x="79"/>
        <item h="1" x="47"/>
        <item h="1" x="89"/>
        <item h="1" x="2"/>
        <item h="1" x="13"/>
        <item h="1" x="26"/>
        <item h="1" x="32"/>
        <item h="1" x="52"/>
        <item h="1" x="9"/>
        <item h="1" x="64"/>
        <item h="1" x="50"/>
        <item h="1" x="33"/>
        <item h="1" x="67"/>
        <item h="1" x="41"/>
        <item h="1" x="70"/>
        <item h="1" x="58"/>
        <item h="1" x="63"/>
        <item h="1" x="15"/>
        <item h="1" x="77"/>
        <item h="1" x="94"/>
        <item h="1" x="95"/>
        <item h="1" x="18"/>
        <item h="1" x="53"/>
        <item h="1" x="69"/>
        <item h="1" x="68"/>
        <item h="1" x="35"/>
        <item h="1" x="80"/>
        <item h="1" x="84"/>
        <item h="1" x="37"/>
        <item h="1" x="92"/>
        <item h="1" x="93"/>
        <item h="1" x="21"/>
        <item h="1" x="56"/>
        <item h="1" x="11"/>
        <item h="1" x="36"/>
        <item h="1" x="97"/>
        <item h="1" x="46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8"/>
  </rowFields>
  <rowItems count="6">
    <i>
      <x v="97"/>
      <x/>
    </i>
    <i r="1">
      <x v="1"/>
    </i>
    <i r="1">
      <x v="2"/>
    </i>
    <i r="1">
      <x v="3"/>
    </i>
    <i t="default">
      <x v="9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407F1-96F8-444A-90FC-0FC5DB6E9D59}" name="Tabela1" displayName="Tabela1" ref="A1:T124" totalsRowShown="0" headerRowDxfId="129" headerRowBorderDxfId="127" tableBorderDxfId="128">
  <autoFilter ref="A1:T124" xr:uid="{A74407F1-96F8-444A-90FC-0FC5DB6E9D59}"/>
  <tableColumns count="20">
    <tableColumn id="38" xr3:uid="{99EFC1F9-C86E-4446-8C4F-ADEC061C7A7E}" name="Ativo?" dataDxfId="126"/>
    <tableColumn id="39" xr3:uid="{1A259FD6-95EF-4352-8B7F-6D309E7C488E}" name="EMPRESA/SETOR" dataDxfId="125"/>
    <tableColumn id="1" xr3:uid="{888D43DC-4848-4E6B-A11D-6B9B19EF97C6}" name="GPID" dataDxfId="124">
      <calculatedColumnFormula>_xlfn.XLOOKUP(H2,RH!$D$2:$D$116,RH!$C$2:$C$116,"Terceiro")</calculatedColumnFormula>
    </tableColumn>
    <tableColumn id="2" xr3:uid="{26EEE0E6-1A29-4F87-B020-61373671563E}" name="ROTA" dataDxfId="123">
      <calculatedColumnFormula>E2&amp;" - "&amp;F2</calculatedColumnFormula>
    </tableColumn>
    <tableColumn id="3" xr3:uid="{0F342E69-2148-44D8-A6C7-2E88DCCBA3CF}" name="TURNO" dataDxfId="122"/>
    <tableColumn id="4" xr3:uid="{6DFE9271-399A-446E-96FB-8BC08555500E}" name="CARRO" dataDxfId="121"/>
    <tableColumn id="5" xr3:uid="{169F8C1D-9EA5-4D79-AB96-5877873A63BE}" name="NOME ABREVIADO" dataDxfId="120"/>
    <tableColumn id="6" xr3:uid="{B5F00911-295A-4234-A3EC-092D79AFABEE}" name="NOME COMPLETO"/>
    <tableColumn id="7" xr3:uid="{499FA9CF-059C-49D1-AE19-F35582E2E795}" name="EMPRESA" dataDxfId="119"/>
    <tableColumn id="8" xr3:uid="{00A2DFF4-62AC-48A8-8F65-EC2C2153D360}" name="CC" dataDxfId="118"/>
    <tableColumn id="9" xr3:uid="{BF0199E1-0502-4D1A-9CD8-B596A3C76967}" name="DATA ADMISSAO" dataDxfId="117"/>
    <tableColumn id="10" xr3:uid="{65C810B7-43CB-4257-86CC-732AC8B9A083}" name="ENDEREÇO COMPLETO" dataDxfId="116">
      <calculatedColumnFormula>M2 &amp; ", " &amp; N2 &amp; ", " &amp; O2 &amp; ", " &amp; P2 &amp; ", BAHIA" &amp; ", BRASIL"</calculatedColumnFormula>
    </tableColumn>
    <tableColumn id="11" xr3:uid="{3E74AA7D-CCCA-43E3-A5AC-D249D58B2E28}" name="RUA" dataDxfId="115"/>
    <tableColumn id="12" xr3:uid="{C43E41E0-794E-4D66-AD08-F73146833456}" name="Nº" dataDxfId="114"/>
    <tableColumn id="13" xr3:uid="{13F1A81B-9A54-46ED-9838-9A421953874C}" name="BAIRRO"/>
    <tableColumn id="14" xr3:uid="{6DA93CED-AAA9-49E1-B3A0-7A4609BD9560}" name="CIDADE" dataDxfId="113"/>
    <tableColumn id="15" xr3:uid="{17D83781-6F01-4D23-8409-FC6A1E16C18C}" name="PONTO DE EMBARQUE"/>
    <tableColumn id="16" xr3:uid="{6D012150-8DF3-4770-BF6E-FE3653124CF2}" name="REFERÊNCIA"/>
    <tableColumn id="17" xr3:uid="{52D64DEA-81F3-45A3-9C07-A4DDEDF6A3D4}" name="TELEFONE" dataDxfId="112"/>
    <tableColumn id="18" xr3:uid="{EAA4EF5D-6FA1-41A1-82BA-C25A7A123273}" name="DATA ALTERACAO ENDERECO" dataDxfId="1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00444-4AAE-4D7B-A0D9-1674AEC0980E}" name="Tabela2" displayName="Tabela2" ref="A1:T116" totalsRowShown="0" headerRowDxfId="110">
  <autoFilter ref="A1:T116" xr:uid="{0B940571-3DA4-442E-A820-557AEE8A2802}"/>
  <tableColumns count="20">
    <tableColumn id="1" xr3:uid="{377DC931-16D1-49A6-8E7D-A454EBA8033B}" name="VICE PRESIDÊNCIA" dataDxfId="109"/>
    <tableColumn id="2" xr3:uid="{594F8013-7DA3-486E-9C09-AC12A88AFF64}" name="DIRETORIA" dataDxfId="108"/>
    <tableColumn id="3" xr3:uid="{06625282-6354-49B4-8D38-DD7C0EB40E33}" name="GPID"/>
    <tableColumn id="4" xr3:uid="{B5B4CEDF-7C3C-4639-B906-7695542F68F5}" name="NOME"/>
    <tableColumn id="5" xr3:uid="{17569323-063F-47B6-AA23-906149EB6DA8}" name="Observação"/>
    <tableColumn id="6" xr3:uid="{2B3C8A0E-D92A-4184-B385-D50A013BA81A}" name="CODIGOCARGO"/>
    <tableColumn id="7" xr3:uid="{E4B5B9BB-C32A-49D4-BE96-8DD5CB8986F9}" name="CARGO"/>
    <tableColumn id="8" xr3:uid="{A01CCBBD-7325-48A4-8880-7B2E47BB1F82}" name="Position Code" dataDxfId="107"/>
    <tableColumn id="9" xr3:uid="{C8210273-E87A-4188-B0DD-438A57B760B1}" name="CODLOCAL" dataDxfId="106"/>
    <tableColumn id="10" xr3:uid="{E6BCB04B-20EA-4546-8A78-43F6B552FAC2}" name="DESCLOCAL"/>
    <tableColumn id="11" xr3:uid="{999168C7-AAA5-40D6-909A-4DA44EDB1456}" name="CODCCUSTO"/>
    <tableColumn id="12" xr3:uid="{499EB1FE-3E0C-4A24-BB17-239B3C37687E}" name="DESCCCUSTO"/>
    <tableColumn id="13" xr3:uid="{BC8CA50B-D92B-49B1-A4B4-E498586F09EB}" name="DATAADMISSAO" dataDxfId="105"/>
    <tableColumn id="14" xr3:uid="{2C46CFE4-30E1-4A72-A21F-3A0726BE10B8}" name="ANIVERSÁRIO"/>
    <tableColumn id="15" xr3:uid="{5C36C667-C92B-41A1-9FC4-CD1A6D6E34A9}" name="Horário"/>
    <tableColumn id="16" xr3:uid="{ED169FB5-A791-438C-93C8-FFE2489A7AB8}" name="GPID - GESTOR IMEDIATO"/>
    <tableColumn id="17" xr3:uid="{2EBA4D84-C70F-4D42-93EC-2B0FC27D3EA7}" name="GESTOR IMEDIATO"/>
    <tableColumn id="18" xr3:uid="{4884D748-19FE-4B74-9CF0-C4F70C4F2E5C}" name="EMAIL CORPORATIVO"/>
    <tableColumn id="19" xr3:uid="{FEFC0B7F-0517-42FE-B46B-CDFAFD3B5D85}" name="STATUS"/>
    <tableColumn id="20" xr3:uid="{B63C81CB-B9F7-4A34-81BA-8752F35BE8FA}" name="SETOR" dataDxfId="104">
      <calculatedColumnFormula array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79DE7D-BFA9-4CDB-AE21-2CF1260F261B}" name="Tabela25" displayName="Tabela25" ref="A1:C40" totalsRowShown="0">
  <autoFilter ref="A1:C40" xr:uid="{6ABFB267-9675-401A-BDB5-DDEB1AB90EA0}"/>
  <sortState xmlns:xlrd2="http://schemas.microsoft.com/office/spreadsheetml/2017/richdata2" ref="A2:C40">
    <sortCondition ref="B1:B40"/>
  </sortState>
  <tableColumns count="3">
    <tableColumn id="1" xr3:uid="{9F92F390-E215-4521-8F65-4B15C4515841}" name="CC"/>
    <tableColumn id="2" xr3:uid="{40C5DDF5-2404-451B-9512-FD7A47222560}" name="CARGO" dataDxfId="103">
      <calculatedColumnFormula>IFERROR(_xlfn.XLOOKUP(Tabela25[[#This Row],[CC]],RH!L:L,RH!G:G), Tabela25[[#This Row],[CC]])</calculatedColumnFormula>
    </tableColumn>
    <tableColumn id="3" xr3:uid="{7D266D76-4738-446A-A367-45048B721907}" name="SETOR/EMPRES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4-06-10T13:23:36.19" personId="{7223D778-1A3B-4D3A-B2BA-408866A2C4DB}" id="{0EAACCCE-6A43-4B44-B61B-35AC2B559726}">
    <text xml:space="preserve">SOMENTE NECESSÁRIO PARA MOTORISTAS COM CARTEIRA C, D OU E. MOTORISTAS DE TÁXI UTILIZAM CATEGORIA B, ENTÃO NÃO É NECESSÁRIO REALIZAR O EXAME PERIODICAMENTE.
</text>
  </threadedComment>
  <threadedComment ref="G3" dT="2024-03-15T13:52:06.35" personId="{9E771886-D6D5-41D5-A3BC-5AF249EAA32B}" id="{9B6DDF0F-E123-44C4-AB7F-359DC000CEF4}">
    <text xml:space="preserve">EAR significa o que ?E , serve para que ? </text>
  </threadedComment>
  <threadedComment ref="G3" dT="2024-06-10T13:24:07.48" personId="{7223D778-1A3B-4D3A-B2BA-408866A2C4DB}" id="{9BA190C6-D692-4F57-B09E-494580475D97}" parentId="{9B6DDF0F-E123-44C4-AB7F-359DC000CEF4}">
    <text xml:space="preserve">CARTEIRA PROFISSIONAL, NECESSÁRIO PARA VANS APENAS.
</text>
  </threadedComment>
  <threadedComment ref="H3" dT="2024-03-15T13:52:48.11" personId="{9E771886-D6D5-41D5-A3BC-5AF249EAA32B}" id="{C9F141B4-4E39-4F9F-A267-17545B18C963}">
    <text>Na legislação exige ou não o ASO ?  Entender com a AZZAF</text>
  </threadedComment>
  <threadedComment ref="H3" dT="2024-06-10T13:21:17.75" personId="{7223D778-1A3B-4D3A-B2BA-408866A2C4DB}" id="{1AACE3F5-7E0D-4E6E-B8C1-914FAF1CCC8E}" parentId="{C9F141B4-4E39-4F9F-A267-17545B18C963}">
    <text xml:space="preserve">SÃO PRESTADORES DE SERVIÇO POR ISSO NÃO TEM ASO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3" dT="2024-03-15T13:56:04.05" personId="{9E771886-D6D5-41D5-A3BC-5AF249EAA32B}" id="{95B8A781-DB78-457B-B763-106C8A7E3BF4}">
    <text xml:space="preserve">O que significa ? E Para que serve ? </text>
  </threadedComment>
  <threadedComment ref="F3" dT="2024-06-10T13:20:42.03" personId="{7223D778-1A3B-4D3A-B2BA-408866A2C4DB}" id="{7F353BB0-11B8-4369-A173-476208B81905}" parentId="{95B8A781-DB78-457B-B763-106C8A7E3BF4}">
    <text>SOMENTE NECESSÁRIO EM VEÍCULOS COM MAIS DE 8 PASSAGEIROS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6CE4-5063-47EA-A0BC-2F59AB14753F}">
  <sheetPr codeName="Planilha3">
    <tabColor rgb="FFFF0000"/>
  </sheetPr>
  <dimension ref="A1:M41"/>
  <sheetViews>
    <sheetView showGridLines="0" zoomScale="70" zoomScaleNormal="70" workbookViewId="0">
      <selection activeCell="F9" sqref="F9"/>
    </sheetView>
  </sheetViews>
  <sheetFormatPr defaultColWidth="12.42578125" defaultRowHeight="14.45"/>
  <cols>
    <col min="1" max="1" width="9.140625" style="2" bestFit="1" customWidth="1"/>
    <col min="2" max="2" width="24.28515625" style="2" customWidth="1"/>
    <col min="3" max="3" width="26.7109375" style="2" customWidth="1"/>
    <col min="4" max="4" width="34" style="2" customWidth="1"/>
    <col min="5" max="5" width="25.28515625" style="2" customWidth="1"/>
    <col min="6" max="6" width="38" style="2" customWidth="1"/>
    <col min="7" max="8" width="33.5703125" style="2" customWidth="1"/>
    <col min="9" max="9" width="36.140625" style="2" customWidth="1"/>
    <col min="10" max="10" width="34.42578125" style="2" customWidth="1"/>
    <col min="11" max="16384" width="12.42578125" style="2"/>
  </cols>
  <sheetData>
    <row r="1" spans="1:13">
      <c r="A1" s="150" t="s">
        <v>0</v>
      </c>
      <c r="B1" s="150"/>
      <c r="C1" s="150"/>
      <c r="D1" s="150"/>
      <c r="E1" s="150"/>
      <c r="F1" s="150"/>
      <c r="G1" s="150"/>
      <c r="H1" s="150"/>
      <c r="I1" s="150"/>
      <c r="J1" s="150"/>
    </row>
    <row r="2" spans="1:13">
      <c r="A2" s="147" t="s">
        <v>1</v>
      </c>
      <c r="B2" s="147" t="s">
        <v>2</v>
      </c>
      <c r="C2" s="114" t="s">
        <v>3</v>
      </c>
      <c r="D2" s="114" t="s">
        <v>4</v>
      </c>
      <c r="E2" s="114" t="s">
        <v>5</v>
      </c>
      <c r="F2" s="114" t="s">
        <v>6</v>
      </c>
      <c r="G2" s="114" t="s">
        <v>7</v>
      </c>
      <c r="H2" s="114" t="s">
        <v>8</v>
      </c>
      <c r="I2" s="114" t="s">
        <v>9</v>
      </c>
      <c r="J2" s="114" t="s">
        <v>10</v>
      </c>
      <c r="K2" s="151"/>
      <c r="L2" s="152"/>
      <c r="M2" s="152"/>
    </row>
    <row r="3" spans="1:13">
      <c r="A3" s="155"/>
      <c r="B3" s="149"/>
      <c r="C3" s="153" t="s">
        <v>11</v>
      </c>
      <c r="D3" s="154"/>
      <c r="E3" s="154"/>
      <c r="F3" s="154"/>
      <c r="G3" s="154"/>
      <c r="H3" s="154"/>
      <c r="I3" s="154"/>
      <c r="J3" s="154"/>
    </row>
    <row r="4" spans="1:13">
      <c r="A4" s="2">
        <v>1</v>
      </c>
      <c r="B4" s="2" t="str" cm="1">
        <f t="array" ref="B4">_xlfn.IFS(C4=15,"VAN",C4=4,"CARRO PEQUENO",C4=6,"SPIN")</f>
        <v>CARRO PEQUENO</v>
      </c>
      <c r="C4" s="2">
        <v>4</v>
      </c>
      <c r="D4" s="2">
        <v>4</v>
      </c>
      <c r="E4" s="2">
        <f>C4-D4</f>
        <v>0</v>
      </c>
      <c r="F4" s="7">
        <f t="shared" ref="F4:F13" si="0">E4/C4</f>
        <v>0</v>
      </c>
      <c r="G4" s="9">
        <v>2.4305555555555556E-2</v>
      </c>
      <c r="H4" s="2">
        <v>42</v>
      </c>
      <c r="I4" s="9">
        <v>0.23958333333333334</v>
      </c>
      <c r="J4" s="9">
        <v>0.60416666666666663</v>
      </c>
    </row>
    <row r="5" spans="1:13">
      <c r="A5" s="2">
        <v>2</v>
      </c>
      <c r="B5" s="2" t="str" cm="1">
        <f t="array" ref="B5">_xlfn.IFS(C5=15,"VAN",C5=4,"CARRO PEQUENO",C5=6,"SPIN")</f>
        <v>CARRO PEQUENO</v>
      </c>
      <c r="C5" s="2">
        <v>4</v>
      </c>
      <c r="D5" s="2">
        <v>1</v>
      </c>
      <c r="E5" s="2">
        <f t="shared" ref="E5:E12" si="1">C5-D5</f>
        <v>3</v>
      </c>
      <c r="F5" s="3">
        <f t="shared" si="0"/>
        <v>0.75</v>
      </c>
      <c r="G5" s="9">
        <v>3.125E-2</v>
      </c>
      <c r="H5" s="2">
        <v>84</v>
      </c>
      <c r="I5" s="9">
        <v>0.23958333333333334</v>
      </c>
      <c r="J5" s="9">
        <v>0.60416666666666663</v>
      </c>
    </row>
    <row r="6" spans="1:13">
      <c r="A6" s="2">
        <v>3</v>
      </c>
      <c r="B6" s="2" t="str" cm="1">
        <f t="array" ref="B6">_xlfn.IFS(C6=15,"VAN",C6=4,"CARRO PEQUENO",C6=6,"SPIN")</f>
        <v>VAN</v>
      </c>
      <c r="C6" s="2">
        <v>15</v>
      </c>
      <c r="D6" s="2">
        <v>7</v>
      </c>
      <c r="E6" s="2">
        <f>C6-D6</f>
        <v>8</v>
      </c>
      <c r="F6" s="3">
        <f>E6/C6</f>
        <v>0.53333333333333333</v>
      </c>
      <c r="G6" s="9">
        <v>4.6527777777777779E-2</v>
      </c>
      <c r="H6" s="2">
        <v>90</v>
      </c>
      <c r="I6" s="9">
        <v>0.23958333333333301</v>
      </c>
      <c r="J6" s="9">
        <v>0.60416666666666663</v>
      </c>
      <c r="K6"/>
      <c r="L6"/>
      <c r="M6"/>
    </row>
    <row r="7" spans="1:13">
      <c r="A7" s="2">
        <v>4</v>
      </c>
      <c r="B7" s="2" t="str" cm="1">
        <f t="array" ref="B7">_xlfn.IFS(C7=15,"VAN",C7=4,"CARRO PEQUENO",C7=6,"SPIN")</f>
        <v>VAN</v>
      </c>
      <c r="C7" s="2">
        <v>15</v>
      </c>
      <c r="D7" s="2">
        <v>7</v>
      </c>
      <c r="E7" s="2">
        <f t="shared" si="1"/>
        <v>8</v>
      </c>
      <c r="F7" s="3">
        <f t="shared" si="0"/>
        <v>0.53333333333333333</v>
      </c>
      <c r="G7" s="9">
        <v>5.2083333333333336E-2</v>
      </c>
      <c r="H7" s="2">
        <v>100</v>
      </c>
      <c r="I7" s="9">
        <v>0.23958333333333301</v>
      </c>
      <c r="J7" s="9">
        <v>0.60416666666666663</v>
      </c>
    </row>
    <row r="8" spans="1:13">
      <c r="A8" s="2">
        <v>5</v>
      </c>
      <c r="B8" s="2" t="str" cm="1">
        <f t="array" ref="B8">_xlfn.IFS(C8=15,"VAN",C8=4,"CARRO PEQUENO",C8=6,"SPIN")</f>
        <v>VAN</v>
      </c>
      <c r="C8" s="2">
        <v>15</v>
      </c>
      <c r="D8" s="2">
        <v>8</v>
      </c>
      <c r="E8" s="2">
        <f t="shared" si="1"/>
        <v>7</v>
      </c>
      <c r="F8" s="3">
        <f t="shared" si="0"/>
        <v>0.46666666666666667</v>
      </c>
      <c r="G8" s="9">
        <v>4.1666666666666664E-2</v>
      </c>
      <c r="H8" s="2">
        <v>104</v>
      </c>
      <c r="I8" s="9">
        <v>0.23958333333333301</v>
      </c>
      <c r="J8" s="9">
        <v>0.60416666666666663</v>
      </c>
    </row>
    <row r="9" spans="1:13">
      <c r="A9" s="2">
        <v>6</v>
      </c>
      <c r="B9" s="2" t="str" cm="1">
        <f t="array" ref="B9">_xlfn.IFS(C9=15,"VAN",C9=4,"CARRO PEQUENO",C9=6,"SPIN")</f>
        <v>VAN</v>
      </c>
      <c r="C9" s="2">
        <v>15</v>
      </c>
      <c r="D9" s="2">
        <v>10</v>
      </c>
      <c r="E9" s="2">
        <f t="shared" si="1"/>
        <v>5</v>
      </c>
      <c r="F9" s="3">
        <f t="shared" si="0"/>
        <v>0.33333333333333331</v>
      </c>
      <c r="G9" s="9">
        <v>5.2083333333333336E-2</v>
      </c>
      <c r="H9" s="2">
        <v>118</v>
      </c>
      <c r="I9" s="9">
        <v>0.23958333333333301</v>
      </c>
      <c r="J9" s="9">
        <v>0.60416666666666696</v>
      </c>
    </row>
    <row r="10" spans="1:13">
      <c r="A10" s="2">
        <v>7</v>
      </c>
      <c r="B10" s="2" t="str" cm="1">
        <f t="array" ref="B10">_xlfn.IFS(C10=15,"VAN",C10=4,"CARRO PEQUENO",C10=6,"SPIN")</f>
        <v>CARRO PEQUENO</v>
      </c>
      <c r="C10" s="2">
        <v>4</v>
      </c>
      <c r="D10" s="2">
        <v>3</v>
      </c>
      <c r="E10" s="2">
        <f t="shared" si="1"/>
        <v>1</v>
      </c>
      <c r="F10" s="3">
        <f t="shared" si="0"/>
        <v>0.25</v>
      </c>
      <c r="G10" s="9">
        <v>3.125E-2</v>
      </c>
      <c r="H10" s="2">
        <v>88</v>
      </c>
      <c r="I10" s="9">
        <v>0.23958333333333301</v>
      </c>
      <c r="J10" s="9">
        <v>0.60416666666666696</v>
      </c>
    </row>
    <row r="11" spans="1:13">
      <c r="A11" s="2">
        <v>8</v>
      </c>
      <c r="B11" s="2" t="str" cm="1">
        <f t="array" ref="B11">_xlfn.IFS(C11=15,"VAN",C11=4,"CARRO PEQUENO",C11=6,"SPIN")</f>
        <v>VAN</v>
      </c>
      <c r="C11" s="2">
        <v>15</v>
      </c>
      <c r="D11" s="2">
        <v>11</v>
      </c>
      <c r="E11" s="2">
        <f t="shared" si="1"/>
        <v>4</v>
      </c>
      <c r="F11" s="3">
        <f t="shared" si="0"/>
        <v>0.26666666666666666</v>
      </c>
      <c r="G11" s="9">
        <v>5.5555555555555552E-2</v>
      </c>
      <c r="H11" s="2">
        <v>110</v>
      </c>
      <c r="I11" s="9">
        <v>0.23958333333333301</v>
      </c>
      <c r="J11" s="9">
        <v>0.60416666666666696</v>
      </c>
    </row>
    <row r="12" spans="1:13">
      <c r="A12" s="2">
        <v>9</v>
      </c>
      <c r="B12" s="2" t="str" cm="1">
        <f t="array" ref="B12">_xlfn.IFS(C12=15,"VAN",C12=4,"CARRO PEQUENO",C12=6,"SPIN")</f>
        <v>CARRO PEQUENO</v>
      </c>
      <c r="C12" s="2">
        <v>4</v>
      </c>
      <c r="D12" s="2">
        <v>2</v>
      </c>
      <c r="E12" s="2">
        <f t="shared" si="1"/>
        <v>2</v>
      </c>
      <c r="F12" s="3">
        <f t="shared" si="0"/>
        <v>0.5</v>
      </c>
      <c r="G12" s="9">
        <v>2.5694444444444443E-2</v>
      </c>
      <c r="H12" s="2">
        <v>88</v>
      </c>
      <c r="I12" s="9">
        <v>0.23958333333333334</v>
      </c>
      <c r="J12" s="9">
        <v>0.60416666666666696</v>
      </c>
    </row>
    <row r="13" spans="1:13">
      <c r="A13" s="2">
        <v>10</v>
      </c>
      <c r="B13" s="2" t="str" cm="1">
        <f t="array" ref="B13">_xlfn.IFS(C13=15,"VAN",C13=4,"CARRO PEQUENO",C13=6,"SPIN")</f>
        <v>CARRO PEQUENO</v>
      </c>
      <c r="C13" s="2">
        <v>4</v>
      </c>
      <c r="D13" s="2">
        <v>3</v>
      </c>
      <c r="E13" s="2">
        <f>C13-D13</f>
        <v>1</v>
      </c>
      <c r="F13" s="121">
        <f t="shared" si="0"/>
        <v>0.25</v>
      </c>
      <c r="G13" s="9">
        <v>5.2083333333333336E-2</v>
      </c>
      <c r="H13" s="2">
        <v>80</v>
      </c>
      <c r="I13" s="9">
        <v>0.23958333333333301</v>
      </c>
      <c r="J13" s="9">
        <v>0.60416666666666696</v>
      </c>
    </row>
    <row r="14" spans="1:13" s="125" customFormat="1" ht="14.45" customHeight="1">
      <c r="A14" s="125" t="s">
        <v>12</v>
      </c>
      <c r="C14" s="125">
        <f>SUM(C4:C13)</f>
        <v>95</v>
      </c>
      <c r="D14" s="125">
        <f>SUM(D4:D13)</f>
        <v>56</v>
      </c>
      <c r="E14" s="125">
        <f>SUM(E4:E13)</f>
        <v>39</v>
      </c>
      <c r="F14" s="126">
        <f>E14/C14</f>
        <v>0.41052631578947368</v>
      </c>
      <c r="G14" s="127">
        <f>AVERAGE(G4:G13)</f>
        <v>4.1250000000000002E-2</v>
      </c>
      <c r="H14" s="125">
        <f>SUM(H4:H13)</f>
        <v>904</v>
      </c>
      <c r="I14" s="127"/>
      <c r="J14" s="127"/>
    </row>
    <row r="15" spans="1:13">
      <c r="F15" s="121"/>
      <c r="G15" s="9"/>
      <c r="I15" s="9"/>
      <c r="J15" s="9"/>
    </row>
    <row r="16" spans="1:13">
      <c r="A16" s="147" t="s">
        <v>1</v>
      </c>
      <c r="B16" s="147" t="s">
        <v>2</v>
      </c>
      <c r="C16" s="114" t="s">
        <v>3</v>
      </c>
      <c r="D16" s="114" t="s">
        <v>4</v>
      </c>
      <c r="E16" s="114" t="s">
        <v>5</v>
      </c>
      <c r="F16" s="114" t="s">
        <v>6</v>
      </c>
      <c r="G16" s="114" t="s">
        <v>7</v>
      </c>
      <c r="H16" s="114" t="s">
        <v>8</v>
      </c>
      <c r="I16" s="114" t="s">
        <v>9</v>
      </c>
      <c r="J16" s="114" t="s">
        <v>10</v>
      </c>
    </row>
    <row r="17" spans="1:10">
      <c r="A17" s="155"/>
      <c r="B17" s="149"/>
      <c r="C17" s="153" t="s">
        <v>13</v>
      </c>
      <c r="D17" s="154"/>
      <c r="E17" s="154"/>
      <c r="F17" s="154"/>
      <c r="G17" s="154"/>
      <c r="H17" s="154"/>
      <c r="I17" s="154"/>
      <c r="J17" s="154"/>
    </row>
    <row r="18" spans="1:10">
      <c r="A18" s="2">
        <v>1</v>
      </c>
      <c r="B18" s="2" t="str" cm="1">
        <f t="array" ref="B18">_xlfn.IFS(C18=15,"VAN",C18=4,"CARRO PEQUENO",C18=6,"SPIN")</f>
        <v>CARRO PEQUENO</v>
      </c>
      <c r="C18" s="4">
        <v>4</v>
      </c>
      <c r="D18" s="4">
        <v>4</v>
      </c>
      <c r="E18" s="4">
        <f>C18-D18</f>
        <v>0</v>
      </c>
      <c r="F18" s="5">
        <f>E18/C18</f>
        <v>0</v>
      </c>
      <c r="G18" s="9">
        <v>3.125E-2</v>
      </c>
      <c r="H18" s="2">
        <v>56</v>
      </c>
      <c r="I18" s="9">
        <v>0.30208333333333331</v>
      </c>
      <c r="J18" s="9">
        <v>0.72083333333333333</v>
      </c>
    </row>
    <row r="19" spans="1:10">
      <c r="A19" s="2">
        <v>2</v>
      </c>
      <c r="B19" s="2" t="str" cm="1">
        <f t="array" ref="B19">_xlfn.IFS(C19=15,"VAN",C19=4,"CARRO PEQUENO",C19=6,"SPIN")</f>
        <v>CARRO PEQUENO</v>
      </c>
      <c r="C19" s="4">
        <v>4</v>
      </c>
      <c r="D19" s="4">
        <v>4</v>
      </c>
      <c r="E19" s="4">
        <f t="shared" ref="E19" si="2">C19-D19</f>
        <v>0</v>
      </c>
      <c r="F19" s="5">
        <f t="shared" ref="F19" si="3">E19/C19</f>
        <v>0</v>
      </c>
      <c r="G19" s="9">
        <v>3.125E-2</v>
      </c>
      <c r="H19" s="2">
        <v>90</v>
      </c>
      <c r="I19" s="9">
        <v>0.30208333333333331</v>
      </c>
      <c r="J19" s="9">
        <v>0.72083333333333333</v>
      </c>
    </row>
    <row r="20" spans="1:10">
      <c r="A20" s="2">
        <v>3</v>
      </c>
      <c r="B20" s="2" t="str" cm="1">
        <f t="array" ref="B20">_xlfn.IFS(C20=15,"VAN",C20=4,"CARRO PEQUENO",C20=6,"SPIN")</f>
        <v>CARRO PEQUENO</v>
      </c>
      <c r="C20" s="4">
        <v>4</v>
      </c>
      <c r="D20" s="4">
        <v>3</v>
      </c>
      <c r="E20" s="4">
        <f t="shared" ref="E20:E25" si="4">C20-D20</f>
        <v>1</v>
      </c>
      <c r="F20" s="5">
        <f t="shared" ref="F20:F25" si="5">E20/C20</f>
        <v>0.25</v>
      </c>
      <c r="G20" s="9">
        <v>3.4722222222222224E-2</v>
      </c>
      <c r="H20" s="2">
        <v>62</v>
      </c>
      <c r="I20" s="9">
        <v>0.30208333333333331</v>
      </c>
      <c r="J20" s="9">
        <v>0.72083333333333333</v>
      </c>
    </row>
    <row r="21" spans="1:10">
      <c r="A21" s="2">
        <v>4</v>
      </c>
      <c r="B21" s="2" t="str" cm="1">
        <f t="array" ref="B21">_xlfn.IFS(C21=15,"VAN",C21=4,"CARRO PEQUENO",C21=6,"SPIN")</f>
        <v>CARRO PEQUENO</v>
      </c>
      <c r="C21" s="2">
        <v>4</v>
      </c>
      <c r="D21" s="2">
        <v>3</v>
      </c>
      <c r="E21" s="2">
        <f t="shared" si="4"/>
        <v>1</v>
      </c>
      <c r="F21" s="121">
        <f t="shared" si="5"/>
        <v>0.25</v>
      </c>
      <c r="G21" s="9">
        <v>2.2916666666666665E-2</v>
      </c>
      <c r="H21" s="2">
        <v>60</v>
      </c>
      <c r="I21" s="9">
        <v>0.30208333333333331</v>
      </c>
      <c r="J21" s="9">
        <v>0.72083333333333333</v>
      </c>
    </row>
    <row r="22" spans="1:10">
      <c r="A22" s="2">
        <v>5</v>
      </c>
      <c r="B22" s="2" t="str" cm="1">
        <f t="array" ref="B22">_xlfn.IFS(C22=15,"VAN",C22=4,"CARRO PEQUENO",C22=6,"SPIN")</f>
        <v>CARRO PEQUENO</v>
      </c>
      <c r="C22" s="2">
        <v>4</v>
      </c>
      <c r="D22" s="2">
        <v>4</v>
      </c>
      <c r="E22" s="2">
        <f t="shared" si="4"/>
        <v>0</v>
      </c>
      <c r="F22" s="121">
        <f t="shared" si="5"/>
        <v>0</v>
      </c>
      <c r="G22" s="9">
        <v>3.8194444444444448E-2</v>
      </c>
      <c r="H22" s="2">
        <v>64</v>
      </c>
      <c r="I22" s="9">
        <v>0.30208333333333331</v>
      </c>
      <c r="J22" s="9">
        <v>0.72083333333333333</v>
      </c>
    </row>
    <row r="23" spans="1:10">
      <c r="A23" s="2">
        <v>6</v>
      </c>
      <c r="B23" s="2" t="str" cm="1">
        <f t="array" ref="B23">_xlfn.IFS(C23=15,"VAN",C23=4,"CARRO PEQUENO",C23=6,"SPIN")</f>
        <v>CARRO PEQUENO</v>
      </c>
      <c r="C23" s="2">
        <v>4</v>
      </c>
      <c r="D23" s="2">
        <v>1</v>
      </c>
      <c r="E23" s="2">
        <f t="shared" si="4"/>
        <v>3</v>
      </c>
      <c r="F23" s="121">
        <f t="shared" si="5"/>
        <v>0.75</v>
      </c>
      <c r="G23" s="9">
        <v>2.4305555555555556E-2</v>
      </c>
      <c r="H23" s="2">
        <v>84</v>
      </c>
      <c r="I23" s="9">
        <v>0.30208333333333331</v>
      </c>
      <c r="J23" s="9">
        <v>0.72083333333333333</v>
      </c>
    </row>
    <row r="24" spans="1:10">
      <c r="A24" s="2">
        <v>7</v>
      </c>
      <c r="B24" s="2" t="str" cm="1">
        <f t="array" ref="B24">_xlfn.IFS(C24=15,"VAN",C24=4,"CARRO PEQUENO",C24=6,"SPIN")</f>
        <v>CARRO PEQUENO</v>
      </c>
      <c r="C24" s="2">
        <v>4</v>
      </c>
      <c r="D24" s="2">
        <v>2</v>
      </c>
      <c r="E24" s="2">
        <f t="shared" si="4"/>
        <v>2</v>
      </c>
      <c r="F24" s="121">
        <f t="shared" si="5"/>
        <v>0.5</v>
      </c>
      <c r="G24" s="9">
        <v>6.9444444444444441E-3</v>
      </c>
      <c r="H24" s="2">
        <v>30</v>
      </c>
      <c r="I24" s="9">
        <v>0.30208333333333331</v>
      </c>
      <c r="J24" s="9">
        <v>0.72083333333333333</v>
      </c>
    </row>
    <row r="25" spans="1:10">
      <c r="A25" s="2">
        <v>8</v>
      </c>
      <c r="B25" s="2" t="str" cm="1">
        <f t="array" ref="B25">_xlfn.IFS(C25=15,"VAN",C25=4,"CARRO PEQUENO",C25=6,"SPIN")</f>
        <v>CARRO PEQUENO</v>
      </c>
      <c r="C25" s="2">
        <v>4</v>
      </c>
      <c r="D25" s="2">
        <v>2</v>
      </c>
      <c r="E25" s="2">
        <f t="shared" si="4"/>
        <v>2</v>
      </c>
      <c r="F25" s="121">
        <f t="shared" si="5"/>
        <v>0.5</v>
      </c>
      <c r="G25" s="9">
        <v>1.7361111111111112E-2</v>
      </c>
      <c r="H25" s="2">
        <v>66</v>
      </c>
      <c r="I25" s="9">
        <v>0.30208333333333331</v>
      </c>
      <c r="J25" s="9">
        <v>0.72083333333333333</v>
      </c>
    </row>
    <row r="26" spans="1:10" s="125" customFormat="1">
      <c r="A26" s="125" t="s">
        <v>12</v>
      </c>
      <c r="C26" s="125">
        <f>SUM(C18:C25)</f>
        <v>32</v>
      </c>
      <c r="D26" s="125">
        <f>SUM(D18:D25)</f>
        <v>23</v>
      </c>
      <c r="E26" s="125">
        <f>SUM(E18:E25)</f>
        <v>9</v>
      </c>
      <c r="F26" s="126">
        <f>E26/C26</f>
        <v>0.28125</v>
      </c>
      <c r="G26" s="127">
        <f>AVERAGE(G18:G25)</f>
        <v>2.5868055555555554E-2</v>
      </c>
      <c r="H26" s="125">
        <f>SUM(H18:H25)</f>
        <v>512</v>
      </c>
      <c r="I26" s="127"/>
      <c r="J26" s="127"/>
    </row>
    <row r="27" spans="1:10">
      <c r="F27" s="121"/>
      <c r="G27" s="9"/>
      <c r="I27" s="9"/>
      <c r="J27" s="9"/>
    </row>
    <row r="28" spans="1:10">
      <c r="A28" s="147" t="s">
        <v>1</v>
      </c>
      <c r="B28" s="147" t="s">
        <v>2</v>
      </c>
      <c r="C28" s="114" t="s">
        <v>3</v>
      </c>
      <c r="D28" s="114" t="s">
        <v>4</v>
      </c>
      <c r="E28" s="114" t="s">
        <v>5</v>
      </c>
      <c r="F28" s="114" t="s">
        <v>6</v>
      </c>
      <c r="G28" s="114" t="s">
        <v>7</v>
      </c>
      <c r="H28" s="114" t="s">
        <v>8</v>
      </c>
      <c r="I28" s="114" t="s">
        <v>9</v>
      </c>
      <c r="J28" s="114" t="s">
        <v>10</v>
      </c>
    </row>
    <row r="29" spans="1:10">
      <c r="A29" s="148"/>
      <c r="B29" s="149"/>
      <c r="C29" s="116" t="s">
        <v>14</v>
      </c>
      <c r="D29" s="117"/>
      <c r="E29" s="117"/>
      <c r="F29" s="117"/>
      <c r="G29" s="117"/>
      <c r="H29" s="117"/>
      <c r="I29" s="117"/>
      <c r="J29" s="117"/>
    </row>
    <row r="30" spans="1:10">
      <c r="A30" s="2">
        <v>1</v>
      </c>
      <c r="B30" s="2" t="str" cm="1">
        <f t="array" ref="B30">_xlfn.IFS(C30=15,"VAN",C30=4,"CARRO PEQUENO",C30=6,"SPIN")</f>
        <v>VAN</v>
      </c>
      <c r="C30" s="2">
        <v>15</v>
      </c>
      <c r="D30" s="2">
        <v>8</v>
      </c>
      <c r="E30" s="2">
        <f>C30-D30</f>
        <v>7</v>
      </c>
      <c r="F30" s="3">
        <f>E30/C30</f>
        <v>0.46666666666666667</v>
      </c>
      <c r="G30" s="9">
        <v>4.8611111111111112E-2</v>
      </c>
      <c r="H30" s="2">
        <v>112</v>
      </c>
      <c r="I30" s="9">
        <v>0.58680555555555558</v>
      </c>
      <c r="J30" s="9">
        <v>0.94791666666666663</v>
      </c>
    </row>
    <row r="31" spans="1:10">
      <c r="A31" s="2">
        <v>2</v>
      </c>
      <c r="B31" s="2" t="str" cm="1">
        <f t="array" ref="B31">_xlfn.IFS(C31=15,"VAN",C31=4,"CARRO PEQUENO",C31=6,"SPIN")</f>
        <v>VAN</v>
      </c>
      <c r="C31" s="2">
        <v>15</v>
      </c>
      <c r="D31" s="2">
        <v>8</v>
      </c>
      <c r="E31" s="2">
        <f t="shared" ref="E31:E34" si="6">C31-D31</f>
        <v>7</v>
      </c>
      <c r="F31" s="3">
        <f t="shared" ref="F31:F33" si="7">E31/C31</f>
        <v>0.46666666666666667</v>
      </c>
      <c r="G31" s="9">
        <v>5.2083333333333336E-2</v>
      </c>
      <c r="H31" s="2">
        <v>100</v>
      </c>
      <c r="I31" s="9">
        <v>0.58680555555555558</v>
      </c>
      <c r="J31" s="9">
        <v>0.94791666666666663</v>
      </c>
    </row>
    <row r="32" spans="1:10">
      <c r="A32" s="2">
        <v>3</v>
      </c>
      <c r="B32" s="2" t="str" cm="1">
        <f t="array" ref="B32">_xlfn.IFS(C32=15,"VAN",C32=4,"CARRO PEQUENO",C32=6,"SPIN")</f>
        <v>VAN</v>
      </c>
      <c r="C32" s="2">
        <v>15</v>
      </c>
      <c r="D32" s="2">
        <v>6</v>
      </c>
      <c r="E32" s="2">
        <f t="shared" si="6"/>
        <v>9</v>
      </c>
      <c r="F32" s="3">
        <f t="shared" si="7"/>
        <v>0.6</v>
      </c>
      <c r="G32" s="9">
        <v>4.791666666666667E-2</v>
      </c>
      <c r="H32" s="2">
        <v>82</v>
      </c>
      <c r="I32" s="9">
        <v>0.58680555555555602</v>
      </c>
      <c r="J32" s="9">
        <v>0.94791666666666696</v>
      </c>
    </row>
    <row r="33" spans="1:10">
      <c r="A33" s="2">
        <v>4</v>
      </c>
      <c r="B33" s="2" t="str" cm="1">
        <f t="array" ref="B33">_xlfn.IFS(C33=15,"VAN",C33=4,"CARRO PEQUENO",C33=6,"SPIN")</f>
        <v>SPIN</v>
      </c>
      <c r="C33" s="2">
        <v>6</v>
      </c>
      <c r="D33" s="2">
        <v>5</v>
      </c>
      <c r="E33" s="2">
        <f t="shared" si="6"/>
        <v>1</v>
      </c>
      <c r="F33" s="3">
        <f t="shared" si="7"/>
        <v>0.16666666666666666</v>
      </c>
      <c r="G33" s="9">
        <v>4.3750000000000004E-2</v>
      </c>
      <c r="H33" s="2">
        <v>100</v>
      </c>
      <c r="I33" s="9">
        <v>0.58680555555555602</v>
      </c>
      <c r="J33" s="9">
        <v>0.94791666666666696</v>
      </c>
    </row>
    <row r="34" spans="1:10">
      <c r="A34" s="2">
        <v>5</v>
      </c>
      <c r="B34" s="2" t="str" cm="1">
        <f t="array" ref="B34">_xlfn.IFS(C34=15,"VAN",C34=4,"CARRO PEQUENO",C34=6,"SPIN")</f>
        <v>SPIN</v>
      </c>
      <c r="C34" s="2">
        <v>6</v>
      </c>
      <c r="D34" s="2">
        <v>5</v>
      </c>
      <c r="E34" s="2">
        <f t="shared" si="6"/>
        <v>1</v>
      </c>
      <c r="F34" s="121">
        <f>E34/C34</f>
        <v>0.16666666666666666</v>
      </c>
      <c r="G34" s="9">
        <v>4.5138888888888888E-2</v>
      </c>
      <c r="H34" s="2">
        <v>90</v>
      </c>
      <c r="I34" s="9">
        <v>0.58680555555555602</v>
      </c>
      <c r="J34" s="9">
        <v>0.94791666666666696</v>
      </c>
    </row>
    <row r="35" spans="1:10" s="125" customFormat="1">
      <c r="A35" s="125" t="s">
        <v>12</v>
      </c>
      <c r="C35" s="125">
        <f>SUM(C30:C34)</f>
        <v>57</v>
      </c>
      <c r="D35" s="125">
        <f t="shared" ref="D35" si="8">SUM(D30:D34)</f>
        <v>32</v>
      </c>
      <c r="E35" s="125">
        <f>SUM(E30:E34)</f>
        <v>25</v>
      </c>
      <c r="F35" s="126">
        <f>E35/C35</f>
        <v>0.43859649122807015</v>
      </c>
      <c r="G35" s="127">
        <f>AVERAGE(G30:G34)</f>
        <v>4.7500000000000001E-2</v>
      </c>
      <c r="H35" s="125">
        <f>SUM(H30:H34)</f>
        <v>484</v>
      </c>
      <c r="I35" s="127"/>
      <c r="J35" s="127"/>
    </row>
    <row r="36" spans="1:10">
      <c r="F36" s="121"/>
      <c r="G36" s="9"/>
      <c r="I36" s="9"/>
      <c r="J36" s="9"/>
    </row>
    <row r="37" spans="1:10">
      <c r="A37" s="118" t="s">
        <v>1</v>
      </c>
      <c r="B37" s="118" t="s">
        <v>2</v>
      </c>
      <c r="C37" s="114" t="s">
        <v>3</v>
      </c>
      <c r="D37" s="114" t="s">
        <v>4</v>
      </c>
      <c r="E37" s="114" t="s">
        <v>5</v>
      </c>
      <c r="F37" s="114" t="s">
        <v>6</v>
      </c>
      <c r="G37" s="114" t="s">
        <v>7</v>
      </c>
      <c r="H37" s="114" t="s">
        <v>8</v>
      </c>
      <c r="I37" s="114" t="s">
        <v>15</v>
      </c>
      <c r="J37" s="114" t="s">
        <v>10</v>
      </c>
    </row>
    <row r="38" spans="1:10">
      <c r="A38" s="119"/>
      <c r="B38" s="120"/>
      <c r="C38" s="116" t="s">
        <v>16</v>
      </c>
      <c r="D38" s="117"/>
      <c r="E38" s="117"/>
      <c r="F38" s="117"/>
      <c r="G38" s="117"/>
      <c r="H38" s="117"/>
      <c r="I38" s="117"/>
      <c r="J38" s="117"/>
    </row>
    <row r="39" spans="1:10">
      <c r="A39" s="4">
        <v>1</v>
      </c>
      <c r="B39" s="2" t="str" cm="1">
        <f t="array" ref="B39">_xlfn.IFS(C39=15,"VAN",C39=4,"CARRO PEQUENO",C39=6,"SPIN")</f>
        <v>VAN</v>
      </c>
      <c r="C39" s="4">
        <v>15</v>
      </c>
      <c r="D39" s="4">
        <v>9</v>
      </c>
      <c r="E39" s="4">
        <f t="shared" ref="E39" si="9">C39-D39</f>
        <v>6</v>
      </c>
      <c r="F39" s="5">
        <f t="shared" ref="F39" si="10">E39/C39</f>
        <v>0.4</v>
      </c>
      <c r="G39" s="9">
        <v>3.125E-2</v>
      </c>
      <c r="H39" s="2">
        <v>108</v>
      </c>
      <c r="I39" s="9">
        <v>0.93055555555555558</v>
      </c>
      <c r="J39" s="9">
        <v>0.26041666666666669</v>
      </c>
    </row>
    <row r="40" spans="1:10">
      <c r="A40" s="4">
        <v>2</v>
      </c>
      <c r="B40" s="2" t="str" cm="1">
        <f t="array" ref="B40">_xlfn.IFS(C40=15,"VAN",C40=4,"CARRO PEQUENO",C40=6,"SPIN")</f>
        <v>CARRO PEQUENO</v>
      </c>
      <c r="C40" s="4">
        <v>4</v>
      </c>
      <c r="D40" s="4">
        <v>2</v>
      </c>
      <c r="E40" s="4">
        <f>C40-D40</f>
        <v>2</v>
      </c>
      <c r="F40" s="5">
        <f>E40/C40</f>
        <v>0.5</v>
      </c>
      <c r="G40" s="9">
        <v>4.1666666666666664E-2</v>
      </c>
      <c r="H40" s="2">
        <v>68</v>
      </c>
      <c r="I40" s="9">
        <v>0.93055555555555558</v>
      </c>
      <c r="J40" s="9">
        <v>0.26041666666666669</v>
      </c>
    </row>
    <row r="41" spans="1:10" s="125" customFormat="1">
      <c r="A41" s="125" t="s">
        <v>12</v>
      </c>
      <c r="C41" s="125">
        <f>SUM(C39:C40)</f>
        <v>19</v>
      </c>
      <c r="D41" s="125">
        <f t="shared" ref="D41:E41" si="11">SUM(D39:D40)</f>
        <v>11</v>
      </c>
      <c r="E41" s="125">
        <f t="shared" si="11"/>
        <v>8</v>
      </c>
      <c r="F41" s="126">
        <f>E41/C41</f>
        <v>0.42105263157894735</v>
      </c>
      <c r="G41" s="127">
        <f>AVERAGE(G39:G40)</f>
        <v>3.6458333333333329E-2</v>
      </c>
      <c r="H41" s="125">
        <f>SUM(H39:H40)</f>
        <v>176</v>
      </c>
    </row>
  </sheetData>
  <mergeCells count="10">
    <mergeCell ref="A28:A29"/>
    <mergeCell ref="B28:B29"/>
    <mergeCell ref="A1:J1"/>
    <mergeCell ref="K2:M2"/>
    <mergeCell ref="C3:J3"/>
    <mergeCell ref="A16:A17"/>
    <mergeCell ref="B16:B17"/>
    <mergeCell ref="C17:J17"/>
    <mergeCell ref="A2:A3"/>
    <mergeCell ref="B2:B3"/>
  </mergeCells>
  <phoneticPr fontId="16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52F0-9C36-4FB5-85B6-F567A2C338B4}">
  <sheetPr codeName="Planilha1"/>
  <dimension ref="A1:T125"/>
  <sheetViews>
    <sheetView showGridLines="0" topLeftCell="L1" zoomScale="98" zoomScaleNormal="98" workbookViewId="0">
      <selection activeCell="B2" sqref="B2"/>
    </sheetView>
  </sheetViews>
  <sheetFormatPr defaultColWidth="8.42578125" defaultRowHeight="12.75" customHeight="1"/>
  <cols>
    <col min="1" max="1" width="8.42578125" style="86" bestFit="1" customWidth="1"/>
    <col min="2" max="2" width="16.85546875" style="115" bestFit="1" customWidth="1"/>
    <col min="3" max="3" width="9.42578125" style="103" bestFit="1" customWidth="1"/>
    <col min="4" max="4" width="19.85546875" style="103" bestFit="1" customWidth="1"/>
    <col min="5" max="5" width="12.28515625" style="103" bestFit="1" customWidth="1"/>
    <col min="6" max="6" width="10.85546875" style="103" bestFit="1" customWidth="1"/>
    <col min="7" max="7" width="23.7109375" style="16" bestFit="1" customWidth="1"/>
    <col min="8" max="8" width="42.42578125" style="16" bestFit="1" customWidth="1"/>
    <col min="9" max="9" width="12.85546875" style="103" bestFit="1" customWidth="1"/>
    <col min="10" max="10" width="8" style="103" bestFit="1" customWidth="1"/>
    <col min="11" max="11" width="18.85546875" style="103" bestFit="1" customWidth="1"/>
    <col min="12" max="12" width="92.28515625" style="103" bestFit="1" customWidth="1"/>
    <col min="13" max="13" width="60.42578125" style="103" bestFit="1" customWidth="1"/>
    <col min="14" max="14" width="7.5703125" style="103" bestFit="1" customWidth="1"/>
    <col min="15" max="15" width="26.28515625" style="103" bestFit="1" customWidth="1"/>
    <col min="16" max="16" width="23.5703125" style="103" bestFit="1" customWidth="1"/>
    <col min="17" max="17" width="81.7109375" style="103" bestFit="1" customWidth="1"/>
    <col min="18" max="18" width="62.85546875" style="103" bestFit="1" customWidth="1"/>
    <col min="19" max="19" width="11.140625" style="103" bestFit="1" customWidth="1"/>
    <col min="20" max="20" width="26.7109375" style="113" bestFit="1" customWidth="1"/>
    <col min="21" max="16384" width="8.42578125" style="113"/>
  </cols>
  <sheetData>
    <row r="1" spans="1:20" s="112" customFormat="1">
      <c r="A1" s="135" t="s">
        <v>17</v>
      </c>
      <c r="B1" s="137" t="s">
        <v>18</v>
      </c>
      <c r="C1" s="134" t="s">
        <v>19</v>
      </c>
      <c r="D1" s="135" t="s">
        <v>20</v>
      </c>
      <c r="E1" s="135" t="s">
        <v>21</v>
      </c>
      <c r="F1" s="135" t="s">
        <v>22</v>
      </c>
      <c r="G1" s="136" t="s">
        <v>23</v>
      </c>
      <c r="H1" s="136" t="s">
        <v>24</v>
      </c>
      <c r="I1" s="135" t="s">
        <v>25</v>
      </c>
      <c r="J1" s="135" t="s">
        <v>26</v>
      </c>
      <c r="K1" s="137" t="s">
        <v>27</v>
      </c>
      <c r="L1" s="138" t="s">
        <v>28</v>
      </c>
      <c r="M1" s="135" t="s">
        <v>29</v>
      </c>
      <c r="N1" s="135" t="s">
        <v>30</v>
      </c>
      <c r="O1" s="135" t="s">
        <v>31</v>
      </c>
      <c r="P1" s="135" t="s">
        <v>32</v>
      </c>
      <c r="Q1" s="137" t="s">
        <v>33</v>
      </c>
      <c r="R1" s="137" t="s">
        <v>34</v>
      </c>
      <c r="S1" s="135" t="s">
        <v>35</v>
      </c>
      <c r="T1" s="137" t="s">
        <v>36</v>
      </c>
    </row>
    <row r="2" spans="1:20">
      <c r="A2" s="102" t="s">
        <v>37</v>
      </c>
      <c r="B2" s="146"/>
      <c r="C2" s="133">
        <f>_xlfn.XLOOKUP(H2,RH!$D$2:$D$116,RH!$C$2:$C$116,"Terceiro")</f>
        <v>40192586</v>
      </c>
      <c r="D2" s="103" t="str">
        <f t="shared" ref="D2:D33" si="0">E2&amp;" - "&amp;F2</f>
        <v>1T - ROTA/5</v>
      </c>
      <c r="E2" s="103" t="s">
        <v>38</v>
      </c>
      <c r="F2" s="103" t="s">
        <v>39</v>
      </c>
      <c r="G2" s="103" t="s">
        <v>40</v>
      </c>
      <c r="H2" s="14" t="s">
        <v>41</v>
      </c>
      <c r="I2" s="102" t="s">
        <v>42</v>
      </c>
      <c r="J2" s="102" t="str">
        <f>_xlfn.XLOOKUP(H2,RH!$D$2:$D$116,RH!$K$2:$K$116,"Terceiro")</f>
        <v>BR1A294</v>
      </c>
      <c r="K2" s="106">
        <v>41102</v>
      </c>
      <c r="L2" s="102" t="str">
        <f>M2 &amp; ", " &amp; N2 &amp; ", " &amp; O2 &amp; ", " &amp; P2 &amp; ", BAHIA" &amp; ", BRASIL"</f>
        <v>R. FELIX PACHECO, 259, PANORAMA, FEIRA DE SANTANA, BAHIA, BRASIL</v>
      </c>
      <c r="M2" s="102" t="s">
        <v>43</v>
      </c>
      <c r="N2" s="102">
        <v>259</v>
      </c>
      <c r="O2" s="102" t="s">
        <v>44</v>
      </c>
      <c r="P2" s="102" t="s">
        <v>45</v>
      </c>
      <c r="Q2" s="102" t="s">
        <v>46</v>
      </c>
      <c r="R2" s="102" t="s">
        <v>47</v>
      </c>
      <c r="S2" s="102"/>
      <c r="T2" s="102"/>
    </row>
    <row r="3" spans="1:20">
      <c r="A3" s="102" t="s">
        <v>37</v>
      </c>
      <c r="B3" s="146"/>
      <c r="C3" s="133">
        <f>_xlfn.XLOOKUP(H3,RH!$D$2:$D$116,RH!$C$2:$C$116,"Terceiro")</f>
        <v>40285860</v>
      </c>
      <c r="D3" s="103" t="str">
        <f t="shared" si="0"/>
        <v>1T - ROTA/6</v>
      </c>
      <c r="E3" s="103" t="s">
        <v>38</v>
      </c>
      <c r="F3" s="103" t="s">
        <v>48</v>
      </c>
      <c r="G3" s="103" t="s">
        <v>49</v>
      </c>
      <c r="H3" s="103" t="s">
        <v>50</v>
      </c>
      <c r="I3" s="102" t="s">
        <v>42</v>
      </c>
      <c r="J3" s="102" t="str">
        <f>_xlfn.XLOOKUP(H3,RH!$D$2:$D$116,RH!$K$2:$K$116,"Terceiro")</f>
        <v>BR1A009</v>
      </c>
      <c r="K3" s="106">
        <v>41925</v>
      </c>
      <c r="L3" s="102" t="str">
        <f t="shared" ref="L3:L66" si="1">M3 &amp; ", " &amp; N3 &amp; ", " &amp; O3 &amp; ", " &amp; P3 &amp; ", BAHIA" &amp; ", BRASIL"</f>
        <v>RUA RIO VERDE, 55, CONCEIÇÃO II, FEIRA DE SANTANA, BAHIA, BRASIL</v>
      </c>
      <c r="M3" s="102" t="s">
        <v>51</v>
      </c>
      <c r="N3" s="102">
        <v>55</v>
      </c>
      <c r="O3" s="102" t="s">
        <v>52</v>
      </c>
      <c r="P3" s="102" t="s">
        <v>45</v>
      </c>
      <c r="Q3" s="102" t="s">
        <v>53</v>
      </c>
      <c r="R3" s="102" t="s">
        <v>54</v>
      </c>
      <c r="S3" s="102"/>
      <c r="T3" s="102"/>
    </row>
    <row r="4" spans="1:20">
      <c r="A4" s="102" t="s">
        <v>37</v>
      </c>
      <c r="B4" s="146"/>
      <c r="C4" s="133">
        <f>_xlfn.XLOOKUP(H4,RH!$D$2:$D$116,RH!$C$2:$C$116,"Terceiro")</f>
        <v>80997371</v>
      </c>
      <c r="D4" s="103" t="str">
        <f t="shared" si="0"/>
        <v>2T - ROTA/1</v>
      </c>
      <c r="E4" s="103" t="s">
        <v>55</v>
      </c>
      <c r="F4" s="103" t="s">
        <v>56</v>
      </c>
      <c r="G4" s="103" t="s">
        <v>57</v>
      </c>
      <c r="H4" s="102" t="s">
        <v>58</v>
      </c>
      <c r="I4" s="102" t="s">
        <v>42</v>
      </c>
      <c r="J4" s="102" t="str">
        <f>_xlfn.XLOOKUP(H4,RH!$D$2:$D$116,RH!$K$2:$K$116,"Terceiro")</f>
        <v>BR1A312</v>
      </c>
      <c r="K4" s="106">
        <v>44872</v>
      </c>
      <c r="L4" s="102" t="str">
        <f t="shared" si="1"/>
        <v>RUA AMADO BAHIA, N/A, PANORAMA, FEIRA DE SANTANA, BAHIA, BRASIL</v>
      </c>
      <c r="M4" s="105" t="s">
        <v>59</v>
      </c>
      <c r="N4" s="102" t="s">
        <v>60</v>
      </c>
      <c r="O4" s="109" t="s">
        <v>44</v>
      </c>
      <c r="P4" s="102" t="s">
        <v>45</v>
      </c>
      <c r="Q4" s="102" t="s">
        <v>61</v>
      </c>
      <c r="R4" s="105" t="s">
        <v>62</v>
      </c>
      <c r="S4" s="102"/>
      <c r="T4" s="102"/>
    </row>
    <row r="5" spans="1:20">
      <c r="A5" s="102" t="s">
        <v>37</v>
      </c>
      <c r="B5" s="146"/>
      <c r="C5" s="133">
        <f>_xlfn.XLOOKUP(H5,RH!$D$2:$D$116,RH!$C$2:$C$116,"Terceiro")</f>
        <v>40205767</v>
      </c>
      <c r="D5" s="103" t="str">
        <f t="shared" si="0"/>
        <v>3T - ROTA/1</v>
      </c>
      <c r="E5" s="103" t="s">
        <v>63</v>
      </c>
      <c r="F5" s="103" t="s">
        <v>56</v>
      </c>
      <c r="G5" s="103" t="s">
        <v>64</v>
      </c>
      <c r="H5" s="16" t="s">
        <v>65</v>
      </c>
      <c r="I5" s="102" t="s">
        <v>42</v>
      </c>
      <c r="J5" s="102" t="str">
        <f>_xlfn.XLOOKUP(H5,RH!$D$2:$D$116,RH!$K$2:$K$116,"Terceiro")</f>
        <v>BR1A312</v>
      </c>
      <c r="K5" s="106">
        <v>44872</v>
      </c>
      <c r="L5" s="102" t="str">
        <f t="shared" si="1"/>
        <v>ESCOLA TEREZA CUNHA , N/A, CALUMBI, FEIRA DE SANTANA, BAHIA, BRASIL</v>
      </c>
      <c r="M5" s="103" t="s">
        <v>66</v>
      </c>
      <c r="N5" s="102" t="s">
        <v>60</v>
      </c>
      <c r="O5" s="103" t="s">
        <v>67</v>
      </c>
      <c r="P5" s="102" t="s">
        <v>45</v>
      </c>
      <c r="Q5" s="103" t="s">
        <v>68</v>
      </c>
      <c r="R5" s="103" t="s">
        <v>68</v>
      </c>
      <c r="S5" s="102"/>
      <c r="T5" s="102"/>
    </row>
    <row r="6" spans="1:20">
      <c r="A6" s="102" t="s">
        <v>37</v>
      </c>
      <c r="B6" s="146"/>
      <c r="C6" s="133">
        <f>_xlfn.XLOOKUP(H6,RH!$D$2:$D$116,RH!$C$2:$C$116,"Terceiro")</f>
        <v>80315521</v>
      </c>
      <c r="D6" s="103" t="str">
        <f t="shared" si="0"/>
        <v>ADM - ROTA/8</v>
      </c>
      <c r="E6" s="103" t="s">
        <v>13</v>
      </c>
      <c r="F6" s="103" t="s">
        <v>69</v>
      </c>
      <c r="G6" s="103" t="s">
        <v>70</v>
      </c>
      <c r="H6" s="102" t="s">
        <v>71</v>
      </c>
      <c r="I6" s="102" t="s">
        <v>42</v>
      </c>
      <c r="J6" s="102" t="str">
        <f>_xlfn.XLOOKUP(H6,RH!$D$2:$D$116,RH!$K$2:$K$116,"Terceiro")</f>
        <v>BR1A294</v>
      </c>
      <c r="K6" s="106">
        <v>44242</v>
      </c>
      <c r="L6" s="102" t="str">
        <f t="shared" si="1"/>
        <v>RUA B, 41, AVIARIO, FEIRA DE SANTANA, BAHIA, BRASIL</v>
      </c>
      <c r="M6" s="102" t="s">
        <v>72</v>
      </c>
      <c r="N6" s="102">
        <v>41</v>
      </c>
      <c r="O6" s="102" t="s">
        <v>73</v>
      </c>
      <c r="P6" s="102" t="s">
        <v>45</v>
      </c>
      <c r="Q6" s="102" t="s">
        <v>74</v>
      </c>
      <c r="R6" s="102" t="s">
        <v>75</v>
      </c>
      <c r="S6" s="102"/>
      <c r="T6" s="102"/>
    </row>
    <row r="7" spans="1:20">
      <c r="A7" s="102" t="s">
        <v>37</v>
      </c>
      <c r="B7" s="146"/>
      <c r="C7" s="133">
        <f>_xlfn.XLOOKUP(H7,RH!$D$2:$D$116,RH!$C$2:$C$116,"Terceiro")</f>
        <v>80069277</v>
      </c>
      <c r="D7" s="103" t="str">
        <f t="shared" si="0"/>
        <v>1T - ROTA/3</v>
      </c>
      <c r="E7" s="103" t="s">
        <v>38</v>
      </c>
      <c r="F7" s="103" t="s">
        <v>76</v>
      </c>
      <c r="G7" s="103" t="s">
        <v>77</v>
      </c>
      <c r="H7" s="102" t="s">
        <v>78</v>
      </c>
      <c r="I7" s="102" t="s">
        <v>42</v>
      </c>
      <c r="J7" s="102" t="str">
        <f>_xlfn.XLOOKUP(H7,RH!$D$2:$D$116,RH!$K$2:$K$116,"Terceiro")</f>
        <v>BR1A294</v>
      </c>
      <c r="K7" s="106">
        <v>42933</v>
      </c>
      <c r="L7" s="102" t="str">
        <f t="shared" si="1"/>
        <v>RUA TUIUCA, N/A, JOÃO PAULO, FEIRA DE SANTANA, BAHIA, BRASIL</v>
      </c>
      <c r="M7" s="102" t="s">
        <v>79</v>
      </c>
      <c r="N7" s="102" t="s">
        <v>60</v>
      </c>
      <c r="O7" s="102" t="s">
        <v>80</v>
      </c>
      <c r="P7" s="102" t="s">
        <v>45</v>
      </c>
      <c r="Q7" s="102" t="s">
        <v>81</v>
      </c>
      <c r="R7" s="102" t="s">
        <v>82</v>
      </c>
      <c r="S7" s="102"/>
      <c r="T7" s="102"/>
    </row>
    <row r="8" spans="1:20">
      <c r="A8" s="102" t="s">
        <v>37</v>
      </c>
      <c r="B8" s="146"/>
      <c r="C8" s="133" t="str">
        <f>_xlfn.XLOOKUP(H8,RH!$D$2:$D$116,RH!$C$2:$C$116,"Terceiro")</f>
        <v>Terceiro</v>
      </c>
      <c r="D8" s="102" t="str">
        <f t="shared" si="0"/>
        <v>1T - ROTA/4</v>
      </c>
      <c r="E8" s="102" t="s">
        <v>38</v>
      </c>
      <c r="F8" s="102" t="s">
        <v>83</v>
      </c>
      <c r="G8" s="102" t="s">
        <v>84</v>
      </c>
      <c r="H8" s="14" t="s">
        <v>85</v>
      </c>
      <c r="I8" s="102" t="s">
        <v>86</v>
      </c>
      <c r="J8" s="102" t="s">
        <v>87</v>
      </c>
      <c r="K8" s="106">
        <v>45665</v>
      </c>
      <c r="L8" s="102" t="str">
        <f t="shared" si="1"/>
        <v>RUA MANTIQUEIRA, 455, RUA NOVA, FEIRA DE SANTANA, BAHIA, BRASIL</v>
      </c>
      <c r="M8" s="102" t="s">
        <v>88</v>
      </c>
      <c r="N8" s="102">
        <v>455</v>
      </c>
      <c r="O8" s="102" t="s">
        <v>89</v>
      </c>
      <c r="P8" s="102" t="s">
        <v>45</v>
      </c>
      <c r="Q8" s="102" t="s">
        <v>90</v>
      </c>
      <c r="R8" s="102" t="s">
        <v>91</v>
      </c>
      <c r="S8" s="102"/>
      <c r="T8" s="102"/>
    </row>
    <row r="9" spans="1:20">
      <c r="A9" s="102" t="s">
        <v>37</v>
      </c>
      <c r="B9" s="146"/>
      <c r="C9" s="133">
        <f>_xlfn.XLOOKUP(H9,RH!$D$2:$D$116,RH!$C$2:$C$116,"Terceiro")</f>
        <v>80038367</v>
      </c>
      <c r="D9" s="103" t="str">
        <f t="shared" si="0"/>
        <v>ADM - ROTA/1</v>
      </c>
      <c r="E9" s="103" t="s">
        <v>13</v>
      </c>
      <c r="F9" s="103" t="s">
        <v>56</v>
      </c>
      <c r="G9" s="103" t="s">
        <v>92</v>
      </c>
      <c r="H9" s="102" t="s">
        <v>93</v>
      </c>
      <c r="I9" s="102" t="s">
        <v>42</v>
      </c>
      <c r="J9" s="102" t="str">
        <f>_xlfn.XLOOKUP(H9,RH!$D$2:$D$116,RH!$K$2:$K$116,"Terceiro")</f>
        <v>BR5A003</v>
      </c>
      <c r="K9" s="106">
        <v>42737</v>
      </c>
      <c r="L9" s="102" t="str">
        <f t="shared" si="1"/>
        <v>Avenida Artêmia Pires, 8147, Sim, FEIRA DE SANTANA, BAHIA, BRASIL</v>
      </c>
      <c r="M9" s="105" t="s">
        <v>94</v>
      </c>
      <c r="N9" s="102">
        <v>8147</v>
      </c>
      <c r="O9" s="102" t="s">
        <v>95</v>
      </c>
      <c r="P9" s="102" t="s">
        <v>45</v>
      </c>
      <c r="Q9" s="102" t="s">
        <v>96</v>
      </c>
      <c r="R9" s="105" t="s">
        <v>96</v>
      </c>
      <c r="S9" s="102"/>
      <c r="T9" s="102"/>
    </row>
    <row r="10" spans="1:20">
      <c r="A10" s="102" t="s">
        <v>37</v>
      </c>
      <c r="B10" s="146"/>
      <c r="C10" s="133">
        <f>_xlfn.XLOOKUP(H10,RH!$D$2:$D$116,RH!$C$2:$C$116,"Terceiro")</f>
        <v>40172746</v>
      </c>
      <c r="D10" s="103" t="str">
        <f t="shared" si="0"/>
        <v>ADM - ROTA/4</v>
      </c>
      <c r="E10" s="103" t="s">
        <v>13</v>
      </c>
      <c r="F10" s="103" t="s">
        <v>83</v>
      </c>
      <c r="G10" s="103" t="s">
        <v>97</v>
      </c>
      <c r="H10" s="103" t="s">
        <v>98</v>
      </c>
      <c r="I10" s="102" t="s">
        <v>42</v>
      </c>
      <c r="J10" s="102" t="str">
        <f>_xlfn.XLOOKUP(H10,RH!$D$2:$D$116,RH!$K$2:$K$116,"Terceiro")</f>
        <v>BR1A004</v>
      </c>
      <c r="K10" s="106">
        <v>40665</v>
      </c>
      <c r="L10" s="102" t="str">
        <f t="shared" si="1"/>
        <v>RUA SENADOR QUINTINO, N/A, SERRARIA BRASIL, FEIRA DE SANTANA, BAHIA, BRASIL</v>
      </c>
      <c r="M10" s="103" t="s">
        <v>99</v>
      </c>
      <c r="N10" s="102" t="s">
        <v>60</v>
      </c>
      <c r="O10" s="103" t="s">
        <v>100</v>
      </c>
      <c r="P10" s="102" t="s">
        <v>45</v>
      </c>
      <c r="Q10" s="103" t="s">
        <v>99</v>
      </c>
      <c r="R10" s="103" t="s">
        <v>101</v>
      </c>
      <c r="S10" s="102"/>
      <c r="T10" s="102"/>
    </row>
    <row r="11" spans="1:20">
      <c r="A11" s="102" t="s">
        <v>37</v>
      </c>
      <c r="B11" s="146"/>
      <c r="C11" s="133">
        <f>_xlfn.XLOOKUP(H11,RH!$D$2:$D$116,RH!$C$2:$C$116,"Terceiro")</f>
        <v>81009737</v>
      </c>
      <c r="D11" s="103" t="str">
        <f t="shared" si="0"/>
        <v>2T - ROTA/2</v>
      </c>
      <c r="E11" s="103" t="s">
        <v>55</v>
      </c>
      <c r="F11" s="103" t="s">
        <v>102</v>
      </c>
      <c r="G11" s="103" t="s">
        <v>103</v>
      </c>
      <c r="H11" s="102" t="s">
        <v>104</v>
      </c>
      <c r="I11" s="102" t="s">
        <v>42</v>
      </c>
      <c r="J11" s="102" t="str">
        <f>_xlfn.XLOOKUP(H11,RH!$D$2:$D$116,RH!$K$2:$K$116,"Terceiro")</f>
        <v>BR1A002</v>
      </c>
      <c r="K11" s="106">
        <v>44928</v>
      </c>
      <c r="L11" s="102" t="str">
        <f t="shared" si="1"/>
        <v>RUA VITORINO FREIRE, 822, MANGABEIRA, FEIRA DE SANTANA, BAHIA, BRASIL</v>
      </c>
      <c r="M11" s="105" t="s">
        <v>105</v>
      </c>
      <c r="N11" s="102">
        <v>822</v>
      </c>
      <c r="O11" s="102" t="s">
        <v>106</v>
      </c>
      <c r="P11" s="102" t="s">
        <v>45</v>
      </c>
      <c r="Q11" s="103" t="s">
        <v>107</v>
      </c>
      <c r="R11" s="105" t="s">
        <v>108</v>
      </c>
      <c r="S11" s="102"/>
      <c r="T11" s="102"/>
    </row>
    <row r="12" spans="1:20">
      <c r="A12" s="102" t="s">
        <v>37</v>
      </c>
      <c r="B12" s="146"/>
      <c r="C12" s="133">
        <f>_xlfn.XLOOKUP(H12,RH!$D$2:$D$116,RH!$C$2:$C$116,"Terceiro")</f>
        <v>80069273</v>
      </c>
      <c r="D12" s="103" t="str">
        <f t="shared" si="0"/>
        <v>2T - ROTA/3</v>
      </c>
      <c r="E12" s="103" t="s">
        <v>55</v>
      </c>
      <c r="F12" s="103" t="s">
        <v>76</v>
      </c>
      <c r="G12" s="103" t="s">
        <v>109</v>
      </c>
      <c r="H12" s="102" t="s">
        <v>110</v>
      </c>
      <c r="I12" s="102" t="s">
        <v>42</v>
      </c>
      <c r="J12" s="102" t="str">
        <f>_xlfn.XLOOKUP(H12,RH!$D$2:$D$116,RH!$K$2:$K$116,"Terceiro")</f>
        <v>BR1A312</v>
      </c>
      <c r="K12" s="106">
        <v>42933</v>
      </c>
      <c r="L12" s="102" t="str">
        <f t="shared" si="1"/>
        <v>AV. SANTO ANDRE, N/A, CASEB, FEIRA DE SANTANA, BAHIA, BRASIL</v>
      </c>
      <c r="M12" s="102" t="s">
        <v>111</v>
      </c>
      <c r="N12" s="102" t="s">
        <v>60</v>
      </c>
      <c r="O12" s="102" t="s">
        <v>112</v>
      </c>
      <c r="P12" s="102" t="s">
        <v>45</v>
      </c>
      <c r="Q12" s="102" t="s">
        <v>113</v>
      </c>
      <c r="R12" s="102" t="s">
        <v>114</v>
      </c>
      <c r="S12" s="102"/>
      <c r="T12" s="102"/>
    </row>
    <row r="13" spans="1:20">
      <c r="A13" s="102" t="s">
        <v>37</v>
      </c>
      <c r="B13" s="146"/>
      <c r="C13" s="133" t="str">
        <f>_xlfn.XLOOKUP(H13,RH!$D$2:$D$116,RH!$C$2:$C$116,"Terceiro")</f>
        <v>Terceiro</v>
      </c>
      <c r="D13" s="103" t="str">
        <f t="shared" si="0"/>
        <v>1T - ROTA/8</v>
      </c>
      <c r="E13" s="103" t="s">
        <v>38</v>
      </c>
      <c r="F13" s="103" t="s">
        <v>69</v>
      </c>
      <c r="G13" s="103" t="s">
        <v>115</v>
      </c>
      <c r="H13" s="102" t="s">
        <v>116</v>
      </c>
      <c r="I13" s="102" t="s">
        <v>86</v>
      </c>
      <c r="J13" s="102" t="s">
        <v>87</v>
      </c>
      <c r="K13" s="106">
        <v>45665</v>
      </c>
      <c r="L13" s="102" t="str">
        <f t="shared" si="1"/>
        <v>RUA DIVAL MACHADO, 18, GABRIELA, FEIRA DE SANTANA, BAHIA, BRASIL</v>
      </c>
      <c r="M13" s="102" t="s">
        <v>117</v>
      </c>
      <c r="N13" s="102">
        <v>18</v>
      </c>
      <c r="O13" s="102" t="s">
        <v>118</v>
      </c>
      <c r="P13" s="102" t="s">
        <v>45</v>
      </c>
      <c r="Q13" s="102" t="s">
        <v>119</v>
      </c>
      <c r="R13" s="102" t="s">
        <v>119</v>
      </c>
      <c r="S13" s="102"/>
      <c r="T13" s="102"/>
    </row>
    <row r="14" spans="1:20">
      <c r="A14" s="102" t="s">
        <v>37</v>
      </c>
      <c r="B14" s="146"/>
      <c r="C14" s="133" t="str">
        <f>_xlfn.XLOOKUP(H14,RH!$D$2:$D$116,RH!$C$2:$C$116,"Terceiro")</f>
        <v>Terceiro</v>
      </c>
      <c r="D14" s="103" t="str">
        <f t="shared" si="0"/>
        <v>ADM - ROTA/5</v>
      </c>
      <c r="E14" s="103" t="s">
        <v>13</v>
      </c>
      <c r="F14" s="103" t="s">
        <v>39</v>
      </c>
      <c r="G14" s="103" t="s">
        <v>120</v>
      </c>
      <c r="H14" s="102" t="s">
        <v>121</v>
      </c>
      <c r="I14" s="102" t="s">
        <v>86</v>
      </c>
      <c r="J14" s="102" t="s">
        <v>87</v>
      </c>
      <c r="K14" s="106">
        <v>45665</v>
      </c>
      <c r="L14" s="102" t="str">
        <f t="shared" si="1"/>
        <v>RUA DIVAL MACHADO, 18, GABRIELA, FEIRA DE SANTANA, BAHIA, BRASIL</v>
      </c>
      <c r="M14" s="102" t="s">
        <v>117</v>
      </c>
      <c r="N14" s="102">
        <v>18</v>
      </c>
      <c r="O14" s="102" t="s">
        <v>118</v>
      </c>
      <c r="P14" s="102" t="s">
        <v>45</v>
      </c>
      <c r="Q14" s="102" t="s">
        <v>117</v>
      </c>
      <c r="R14" s="102"/>
      <c r="S14" s="102"/>
      <c r="T14" s="102"/>
    </row>
    <row r="15" spans="1:20">
      <c r="A15" s="102" t="s">
        <v>37</v>
      </c>
      <c r="B15" s="146"/>
      <c r="C15" s="133" t="str">
        <f>_xlfn.XLOOKUP(H15,RH!$D$2:$D$116,RH!$C$2:$C$116,"Terceiro")</f>
        <v>Terceiro</v>
      </c>
      <c r="D15" s="103" t="str">
        <f t="shared" si="0"/>
        <v>2T - ROTA/1</v>
      </c>
      <c r="E15" s="103" t="s">
        <v>55</v>
      </c>
      <c r="F15" s="103" t="s">
        <v>56</v>
      </c>
      <c r="G15" s="103" t="s">
        <v>122</v>
      </c>
      <c r="H15" s="103" t="s">
        <v>123</v>
      </c>
      <c r="I15" s="102" t="s">
        <v>86</v>
      </c>
      <c r="J15" s="102" t="s">
        <v>87</v>
      </c>
      <c r="K15" s="106">
        <v>45665</v>
      </c>
      <c r="L15" s="102" t="str">
        <f t="shared" si="1"/>
        <v>RUA EL SALVADOR, 38, FEIRA VII, FEIRA DE SANTANA, BAHIA, BRASIL</v>
      </c>
      <c r="M15" s="102" t="s">
        <v>124</v>
      </c>
      <c r="N15" s="102">
        <v>38</v>
      </c>
      <c r="O15" s="102" t="s">
        <v>125</v>
      </c>
      <c r="P15" s="102" t="s">
        <v>45</v>
      </c>
      <c r="Q15" s="102" t="s">
        <v>126</v>
      </c>
      <c r="R15" s="102" t="s">
        <v>127</v>
      </c>
      <c r="S15" s="102"/>
      <c r="T15" s="102"/>
    </row>
    <row r="16" spans="1:20">
      <c r="A16" s="102" t="s">
        <v>37</v>
      </c>
      <c r="B16" s="146"/>
      <c r="C16" s="133" t="str">
        <f>_xlfn.XLOOKUP(H16,RH!$D$2:$D$116,RH!$C$2:$C$116,"Terceiro")</f>
        <v>Terceiro</v>
      </c>
      <c r="D16" s="103" t="str">
        <f t="shared" si="0"/>
        <v>ADM - ROTA/2</v>
      </c>
      <c r="E16" s="103" t="s">
        <v>13</v>
      </c>
      <c r="F16" s="103" t="s">
        <v>102</v>
      </c>
      <c r="G16" s="103" t="s">
        <v>128</v>
      </c>
      <c r="H16" s="102" t="s">
        <v>129</v>
      </c>
      <c r="I16" s="102" t="s">
        <v>130</v>
      </c>
      <c r="J16" s="102" t="s">
        <v>131</v>
      </c>
      <c r="K16" s="106">
        <v>44936</v>
      </c>
      <c r="L16" s="102" t="str">
        <f t="shared" si="1"/>
        <v>Avenida Gracindo de Freitas Medeiros , N/A, MANGABEIRA, FEIRA DE SANTANA, BAHIA, BRASIL</v>
      </c>
      <c r="M16" s="102" t="s">
        <v>132</v>
      </c>
      <c r="N16" s="102" t="s">
        <v>60</v>
      </c>
      <c r="O16" s="102" t="s">
        <v>106</v>
      </c>
      <c r="P16" s="102" t="s">
        <v>45</v>
      </c>
      <c r="Q16" s="102" t="s">
        <v>133</v>
      </c>
      <c r="R16" s="102" t="s">
        <v>133</v>
      </c>
      <c r="S16" s="102"/>
      <c r="T16" s="102"/>
    </row>
    <row r="17" spans="1:20">
      <c r="A17" s="102" t="s">
        <v>37</v>
      </c>
      <c r="B17" s="146"/>
      <c r="C17" s="133">
        <f>_xlfn.XLOOKUP(H17,RH!$D$2:$D$116,RH!$C$2:$C$116,"Terceiro")</f>
        <v>81226437</v>
      </c>
      <c r="D17" s="103" t="str">
        <f t="shared" si="0"/>
        <v>ADM - ROTA/3</v>
      </c>
      <c r="E17" s="103" t="s">
        <v>13</v>
      </c>
      <c r="F17" s="103" t="s">
        <v>76</v>
      </c>
      <c r="G17" s="103" t="s">
        <v>134</v>
      </c>
      <c r="H17" s="102" t="s">
        <v>135</v>
      </c>
      <c r="I17" s="102" t="s">
        <v>42</v>
      </c>
      <c r="J17" s="102" t="str">
        <f>_xlfn.XLOOKUP(H17,RH!$D$2:$D$116,RH!$K$2:$K$116,"Terceiro")</f>
        <v>BR1A004</v>
      </c>
      <c r="K17" s="106">
        <v>45845</v>
      </c>
      <c r="L17" s="102" t="str">
        <f t="shared" si="1"/>
        <v>RUA LEÔCIO SANTOS, 115, SANTA MÔNICA, FEIRA DE SANTANA, BAHIA, BRASIL</v>
      </c>
      <c r="M17" s="103" t="s">
        <v>136</v>
      </c>
      <c r="N17" s="102">
        <v>115</v>
      </c>
      <c r="O17" s="103" t="s">
        <v>137</v>
      </c>
      <c r="P17" s="102" t="s">
        <v>45</v>
      </c>
      <c r="Q17" s="102" t="s">
        <v>138</v>
      </c>
      <c r="R17" s="102" t="s">
        <v>139</v>
      </c>
      <c r="S17" s="102"/>
      <c r="T17" s="102"/>
    </row>
    <row r="18" spans="1:20">
      <c r="A18" s="102" t="s">
        <v>37</v>
      </c>
      <c r="B18" s="146"/>
      <c r="C18" s="133">
        <f>_xlfn.XLOOKUP(H18,RH!$D$2:$D$116,RH!$C$2:$C$116,"Terceiro")</f>
        <v>80888568</v>
      </c>
      <c r="D18" s="103" t="str">
        <f t="shared" si="0"/>
        <v>2T - ROTA/1</v>
      </c>
      <c r="E18" s="103" t="s">
        <v>55</v>
      </c>
      <c r="F18" s="103" t="s">
        <v>56</v>
      </c>
      <c r="G18" s="103" t="s">
        <v>140</v>
      </c>
      <c r="H18" s="14" t="s">
        <v>141</v>
      </c>
      <c r="I18" s="102" t="s">
        <v>42</v>
      </c>
      <c r="J18" s="102" t="str">
        <f>_xlfn.XLOOKUP(H18,RH!$D$2:$D$116,RH!$K$2:$K$116,"Terceiro")</f>
        <v>BR1A007</v>
      </c>
      <c r="K18" s="106">
        <v>44516</v>
      </c>
      <c r="L18" s="102" t="str">
        <f t="shared" si="1"/>
        <v>RUA DO TELEGRAFO, N/A, FRATERNIDADE, FEIRA DE SANTANA, BAHIA, BRASIL</v>
      </c>
      <c r="M18" s="105" t="s">
        <v>142</v>
      </c>
      <c r="N18" s="102" t="s">
        <v>60</v>
      </c>
      <c r="O18" s="102" t="s">
        <v>143</v>
      </c>
      <c r="P18" s="102" t="s">
        <v>45</v>
      </c>
      <c r="Q18" s="105" t="s">
        <v>144</v>
      </c>
      <c r="R18" s="105" t="s">
        <v>145</v>
      </c>
      <c r="S18" s="102"/>
      <c r="T18" s="102"/>
    </row>
    <row r="19" spans="1:20">
      <c r="A19" s="102" t="s">
        <v>37</v>
      </c>
      <c r="B19" s="146"/>
      <c r="C19" s="133">
        <f>_xlfn.XLOOKUP(H19,RH!$D$2:$D$116,RH!$C$2:$C$116,"Terceiro")</f>
        <v>80997603</v>
      </c>
      <c r="D19" s="103" t="str">
        <f t="shared" si="0"/>
        <v>1T - ROTA/10</v>
      </c>
      <c r="E19" s="103" t="s">
        <v>38</v>
      </c>
      <c r="F19" s="103" t="s">
        <v>146</v>
      </c>
      <c r="G19" s="103" t="s">
        <v>147</v>
      </c>
      <c r="H19" s="103" t="s">
        <v>148</v>
      </c>
      <c r="I19" s="102" t="s">
        <v>42</v>
      </c>
      <c r="J19" s="102" t="str">
        <f>_xlfn.XLOOKUP(H19,RH!$D$2:$D$116,RH!$K$2:$K$116,"Terceiro")</f>
        <v>BR1A010</v>
      </c>
      <c r="K19" s="106">
        <v>44872</v>
      </c>
      <c r="L19" s="102" t="str">
        <f t="shared" si="1"/>
        <v>RUA CORRENTES, 68, CAMPO LIMPO, FEIRA DE SANTANA, BAHIA, BRASIL</v>
      </c>
      <c r="M19" s="105" t="s">
        <v>149</v>
      </c>
      <c r="N19" s="102">
        <v>68</v>
      </c>
      <c r="O19" s="102" t="s">
        <v>150</v>
      </c>
      <c r="P19" s="102" t="s">
        <v>45</v>
      </c>
      <c r="Q19" s="105" t="s">
        <v>151</v>
      </c>
      <c r="R19" s="105" t="s">
        <v>152</v>
      </c>
      <c r="S19" s="102"/>
      <c r="T19" s="102"/>
    </row>
    <row r="20" spans="1:20">
      <c r="A20" s="102" t="s">
        <v>37</v>
      </c>
      <c r="B20" s="146"/>
      <c r="C20" s="133" t="str">
        <f>_xlfn.XLOOKUP(H20,RH!$D$2:$D$116,RH!$C$2:$C$116,"Terceiro")</f>
        <v>Terceiro</v>
      </c>
      <c r="D20" s="103" t="str">
        <f t="shared" si="0"/>
        <v>1T - ROTA/6</v>
      </c>
      <c r="E20" s="103" t="s">
        <v>38</v>
      </c>
      <c r="F20" s="103" t="s">
        <v>48</v>
      </c>
      <c r="G20" s="103" t="s">
        <v>153</v>
      </c>
      <c r="H20" s="103" t="s">
        <v>154</v>
      </c>
      <c r="I20" s="102" t="s">
        <v>130</v>
      </c>
      <c r="J20" s="102" t="s">
        <v>131</v>
      </c>
      <c r="K20" s="106">
        <v>45869</v>
      </c>
      <c r="L20" s="102" t="str">
        <f t="shared" si="1"/>
        <v>RUA MARAÚ, 230, SANTO ANTÔNIO DOS PRAZERES, FEIRA DE SANTANA, BAHIA, BRASIL</v>
      </c>
      <c r="M20" s="105" t="s">
        <v>155</v>
      </c>
      <c r="N20" s="102">
        <v>230</v>
      </c>
      <c r="O20" s="102" t="s">
        <v>156</v>
      </c>
      <c r="P20" s="102" t="s">
        <v>45</v>
      </c>
      <c r="Q20" s="102" t="s">
        <v>157</v>
      </c>
      <c r="R20" s="105" t="s">
        <v>158</v>
      </c>
      <c r="S20" s="102"/>
      <c r="T20" s="106"/>
    </row>
    <row r="21" spans="1:20">
      <c r="A21" s="102" t="s">
        <v>37</v>
      </c>
      <c r="B21" s="146"/>
      <c r="C21" s="133">
        <f>_xlfn.XLOOKUP(H21,RH!$D$2:$D$116,RH!$C$2:$C$116,"Terceiro")</f>
        <v>40216111</v>
      </c>
      <c r="D21" s="103" t="str">
        <f t="shared" si="0"/>
        <v>1T - ROTA/3</v>
      </c>
      <c r="E21" s="103" t="s">
        <v>38</v>
      </c>
      <c r="F21" s="103" t="s">
        <v>76</v>
      </c>
      <c r="G21" s="103" t="s">
        <v>159</v>
      </c>
      <c r="H21" s="102" t="s">
        <v>160</v>
      </c>
      <c r="I21" s="102" t="s">
        <v>42</v>
      </c>
      <c r="J21" s="102" t="str">
        <f>_xlfn.XLOOKUP(H21,RH!$D$2:$D$116,RH!$K$2:$K$116,"Terceiro")</f>
        <v>BR1A312</v>
      </c>
      <c r="K21" s="106">
        <v>41435</v>
      </c>
      <c r="L21" s="102" t="str">
        <f t="shared" si="1"/>
        <v>RUA PERIPERI, N/A, QUEIMADINHA, FEIRA DE SANTANA, BAHIA, BRASIL</v>
      </c>
      <c r="M21" s="102" t="s">
        <v>161</v>
      </c>
      <c r="N21" s="102" t="s">
        <v>60</v>
      </c>
      <c r="O21" s="102" t="s">
        <v>162</v>
      </c>
      <c r="P21" s="102" t="s">
        <v>45</v>
      </c>
      <c r="Q21" s="102" t="s">
        <v>163</v>
      </c>
      <c r="R21" s="102" t="s">
        <v>164</v>
      </c>
      <c r="S21" s="102"/>
      <c r="T21" s="102"/>
    </row>
    <row r="22" spans="1:20">
      <c r="A22" s="102" t="s">
        <v>37</v>
      </c>
      <c r="B22" s="146"/>
      <c r="C22" s="133">
        <f>_xlfn.XLOOKUP(H22,RH!$D$2:$D$116,RH!$C$2:$C$116,"Terceiro")</f>
        <v>81069369</v>
      </c>
      <c r="D22" s="103" t="str">
        <f t="shared" si="0"/>
        <v>3T - ROTA/1</v>
      </c>
      <c r="E22" s="103" t="s">
        <v>63</v>
      </c>
      <c r="F22" s="103" t="s">
        <v>56</v>
      </c>
      <c r="G22" s="16" t="s">
        <v>165</v>
      </c>
      <c r="H22" s="16" t="s">
        <v>166</v>
      </c>
      <c r="I22" s="102" t="s">
        <v>42</v>
      </c>
      <c r="J22" s="102" t="str">
        <f>_xlfn.XLOOKUP(H22,RH!$D$2:$D$116,RH!$K$2:$K$116,"Terceiro")</f>
        <v>BR1A294</v>
      </c>
      <c r="K22" s="106">
        <v>45152</v>
      </c>
      <c r="L22" s="102" t="str">
        <f t="shared" si="1"/>
        <v>Rua Para, 320, QUEIMADINHA, FEIRA DE SANTANA, BAHIA, BRASIL</v>
      </c>
      <c r="M22" s="103" t="s">
        <v>167</v>
      </c>
      <c r="N22" s="103">
        <v>320</v>
      </c>
      <c r="O22" s="103" t="s">
        <v>162</v>
      </c>
      <c r="P22" s="102" t="s">
        <v>45</v>
      </c>
      <c r="Q22" s="103" t="s">
        <v>168</v>
      </c>
      <c r="S22" s="102"/>
      <c r="T22" s="102"/>
    </row>
    <row r="23" spans="1:20">
      <c r="A23" s="102" t="s">
        <v>37</v>
      </c>
      <c r="B23" s="146"/>
      <c r="C23" s="133">
        <f>_xlfn.XLOOKUP(H23,RH!$D$2:$D$116,RH!$C$2:$C$116,"Terceiro")</f>
        <v>80916371</v>
      </c>
      <c r="D23" s="103" t="str">
        <f t="shared" si="0"/>
        <v>2T - ROTA/4</v>
      </c>
      <c r="E23" s="103" t="s">
        <v>55</v>
      </c>
      <c r="F23" s="103" t="s">
        <v>83</v>
      </c>
      <c r="G23" s="103" t="s">
        <v>169</v>
      </c>
      <c r="H23" s="16" t="s">
        <v>170</v>
      </c>
      <c r="I23" s="102" t="s">
        <v>42</v>
      </c>
      <c r="J23" s="102" t="str">
        <f>_xlfn.XLOOKUP(H23,RH!$D$2:$D$116,RH!$K$2:$K$116,"Terceiro")</f>
        <v>BR1A312</v>
      </c>
      <c r="K23" s="106">
        <v>44622</v>
      </c>
      <c r="L23" s="102" t="str">
        <f t="shared" si="1"/>
        <v>RUA BREVES, 33, LIMOEIRO, LIMOEIRO, BAHIA, BRASIL</v>
      </c>
      <c r="M23" s="103" t="s">
        <v>171</v>
      </c>
      <c r="N23" s="103">
        <v>33</v>
      </c>
      <c r="O23" s="103" t="s">
        <v>172</v>
      </c>
      <c r="P23" s="102" t="s">
        <v>172</v>
      </c>
      <c r="Q23" s="103" t="s">
        <v>173</v>
      </c>
      <c r="R23" s="103" t="s">
        <v>174</v>
      </c>
      <c r="S23" s="102"/>
      <c r="T23" s="102"/>
    </row>
    <row r="24" spans="1:20">
      <c r="A24" s="102" t="s">
        <v>37</v>
      </c>
      <c r="B24" s="146"/>
      <c r="C24" s="133">
        <f>_xlfn.XLOOKUP(H24,RH!$D$2:$D$116,RH!$C$2:$C$116,"Terceiro")</f>
        <v>80159517</v>
      </c>
      <c r="D24" s="103" t="str">
        <f t="shared" si="0"/>
        <v>ADM - ROTA/1</v>
      </c>
      <c r="E24" s="103" t="s">
        <v>13</v>
      </c>
      <c r="F24" s="103" t="s">
        <v>56</v>
      </c>
      <c r="G24" s="103" t="s">
        <v>175</v>
      </c>
      <c r="H24" s="14" t="s">
        <v>176</v>
      </c>
      <c r="I24" s="102" t="s">
        <v>42</v>
      </c>
      <c r="J24" s="102" t="str">
        <f>_xlfn.XLOOKUP(H24,RH!$D$2:$D$116,RH!$K$2:$K$116,"Terceiro")</f>
        <v>BR1A002</v>
      </c>
      <c r="K24" s="106">
        <v>43451</v>
      </c>
      <c r="L24" s="102" t="str">
        <f t="shared" si="1"/>
        <v>RUA CAMBORIÚ, 50, Sim, FEIRA DE SANTANA, BAHIA, BRASIL</v>
      </c>
      <c r="M24" s="102" t="s">
        <v>177</v>
      </c>
      <c r="N24" s="102">
        <v>50</v>
      </c>
      <c r="O24" s="102" t="s">
        <v>95</v>
      </c>
      <c r="P24" s="102" t="s">
        <v>45</v>
      </c>
      <c r="Q24" s="102" t="s">
        <v>178</v>
      </c>
      <c r="R24" s="102" t="s">
        <v>179</v>
      </c>
      <c r="S24" s="102"/>
      <c r="T24" s="102"/>
    </row>
    <row r="25" spans="1:20">
      <c r="A25" s="102" t="s">
        <v>37</v>
      </c>
      <c r="B25" s="146"/>
      <c r="C25" s="133">
        <f>_xlfn.XLOOKUP(H25,RH!$D$2:$D$116,RH!$C$2:$C$116,"Terceiro")</f>
        <v>81145746</v>
      </c>
      <c r="D25" s="103" t="str">
        <f t="shared" si="0"/>
        <v>2T - ROTA/3</v>
      </c>
      <c r="E25" s="103" t="s">
        <v>55</v>
      </c>
      <c r="F25" s="103" t="s">
        <v>76</v>
      </c>
      <c r="G25" s="103" t="s">
        <v>180</v>
      </c>
      <c r="H25" s="16" t="s">
        <v>181</v>
      </c>
      <c r="I25" s="102" t="s">
        <v>42</v>
      </c>
      <c r="J25" s="102" t="str">
        <f>_xlfn.XLOOKUP(H25,RH!$D$2:$D$116,RH!$K$2:$K$116,"Terceiro")</f>
        <v>BR1A312</v>
      </c>
      <c r="K25" s="106">
        <v>45425</v>
      </c>
      <c r="L25" s="102" t="str">
        <f t="shared" si="1"/>
        <v>RUA CARLOS LADARES, 1058, QUEIMADINHA, FEIRA DE SANTANA, BAHIA, BRASIL</v>
      </c>
      <c r="M25" s="103" t="s">
        <v>182</v>
      </c>
      <c r="N25" s="103">
        <v>1058</v>
      </c>
      <c r="O25" s="103" t="s">
        <v>162</v>
      </c>
      <c r="P25" s="102" t="s">
        <v>45</v>
      </c>
      <c r="Q25" s="103" t="s">
        <v>183</v>
      </c>
      <c r="R25" s="103" t="s">
        <v>184</v>
      </c>
      <c r="S25" s="102"/>
      <c r="T25" s="102"/>
    </row>
    <row r="26" spans="1:20">
      <c r="A26" s="102" t="s">
        <v>37</v>
      </c>
      <c r="B26" s="146"/>
      <c r="C26" s="133">
        <f>_xlfn.XLOOKUP(H26,RH!$D$2:$D$116,RH!$C$2:$C$116,"Terceiro")</f>
        <v>80258585</v>
      </c>
      <c r="D26" s="103" t="str">
        <f t="shared" si="0"/>
        <v>3T - ROTA/1</v>
      </c>
      <c r="E26" s="103" t="s">
        <v>63</v>
      </c>
      <c r="F26" s="103" t="s">
        <v>56</v>
      </c>
      <c r="G26" s="103" t="s">
        <v>185</v>
      </c>
      <c r="H26" s="16" t="s">
        <v>186</v>
      </c>
      <c r="I26" s="102" t="s">
        <v>42</v>
      </c>
      <c r="J26" s="102" t="str">
        <f>_xlfn.XLOOKUP(H26,RH!$D$2:$D$116,RH!$K$2:$K$116,"Terceiro")</f>
        <v>BR1A004</v>
      </c>
      <c r="K26" s="106">
        <v>43997</v>
      </c>
      <c r="L26" s="102" t="str">
        <f t="shared" si="1"/>
        <v>Rua Santos, 101, CASEB, FEIRA DE SANTANA, BAHIA, BRASIL</v>
      </c>
      <c r="M26" s="103" t="s">
        <v>187</v>
      </c>
      <c r="N26" s="103">
        <v>101</v>
      </c>
      <c r="O26" s="102" t="s">
        <v>112</v>
      </c>
      <c r="P26" s="102" t="s">
        <v>45</v>
      </c>
      <c r="Q26" s="103" t="s">
        <v>188</v>
      </c>
      <c r="S26" s="102"/>
      <c r="T26" s="102"/>
    </row>
    <row r="27" spans="1:20">
      <c r="A27" s="102" t="s">
        <v>37</v>
      </c>
      <c r="B27" s="146"/>
      <c r="C27" s="133" t="str">
        <f>_xlfn.XLOOKUP(H27,RH!$D$2:$D$116,RH!$C$2:$C$116,"Terceiro")</f>
        <v>Terceiro</v>
      </c>
      <c r="D27" s="103" t="str">
        <f t="shared" si="0"/>
        <v>2T - ROTA/1</v>
      </c>
      <c r="E27" s="103" t="s">
        <v>55</v>
      </c>
      <c r="F27" s="103" t="s">
        <v>56</v>
      </c>
      <c r="G27" s="103" t="s">
        <v>189</v>
      </c>
      <c r="H27" s="103" t="s">
        <v>190</v>
      </c>
      <c r="I27" s="102" t="s">
        <v>130</v>
      </c>
      <c r="J27" s="102" t="s">
        <v>131</v>
      </c>
      <c r="K27" s="106">
        <v>45811</v>
      </c>
      <c r="L27" s="102" t="str">
        <f t="shared" si="1"/>
        <v>RUA DOUTOR MACÁRIO CERQUEIRA, 1147, MUCHILA, FEIRA DE SANTANA, BAHIA, BRASIL</v>
      </c>
      <c r="M27" s="102" t="s">
        <v>191</v>
      </c>
      <c r="N27" s="102">
        <v>1147</v>
      </c>
      <c r="O27" s="102" t="s">
        <v>192</v>
      </c>
      <c r="P27" s="102" t="s">
        <v>45</v>
      </c>
      <c r="Q27" s="102" t="s">
        <v>193</v>
      </c>
      <c r="R27" s="102" t="s">
        <v>194</v>
      </c>
      <c r="S27" s="102"/>
      <c r="T27" s="102"/>
    </row>
    <row r="28" spans="1:20">
      <c r="A28" s="102" t="s">
        <v>37</v>
      </c>
      <c r="B28" s="146"/>
      <c r="C28" s="133">
        <f>_xlfn.XLOOKUP(H28,RH!$D$2:$D$116,RH!$C$2:$C$116,"Terceiro")</f>
        <v>80888181</v>
      </c>
      <c r="D28" s="103" t="str">
        <f t="shared" si="0"/>
        <v>2T - ROTA/4</v>
      </c>
      <c r="E28" s="103" t="s">
        <v>55</v>
      </c>
      <c r="F28" s="103" t="s">
        <v>83</v>
      </c>
      <c r="G28" s="103" t="s">
        <v>195</v>
      </c>
      <c r="H28" s="16" t="s">
        <v>196</v>
      </c>
      <c r="I28" s="102" t="s">
        <v>42</v>
      </c>
      <c r="J28" s="102" t="str">
        <f>_xlfn.XLOOKUP(H28,RH!$D$2:$D$116,RH!$K$2:$K$116,"Terceiro")</f>
        <v>BR1A294</v>
      </c>
      <c r="K28" s="106">
        <v>44516</v>
      </c>
      <c r="L28" s="102" t="str">
        <f t="shared" si="1"/>
        <v>PRAÇA DO LIMOEIRO, N/A, LIMOEIRO, LIMOEIRO, BAHIA, BRASIL</v>
      </c>
      <c r="M28" s="103" t="s">
        <v>197</v>
      </c>
      <c r="N28" s="102" t="s">
        <v>60</v>
      </c>
      <c r="O28" s="103" t="s">
        <v>172</v>
      </c>
      <c r="P28" s="102" t="s">
        <v>172</v>
      </c>
      <c r="Q28" s="103" t="s">
        <v>198</v>
      </c>
      <c r="R28" s="103" t="s">
        <v>199</v>
      </c>
      <c r="S28" s="102"/>
      <c r="T28" s="102"/>
    </row>
    <row r="29" spans="1:20">
      <c r="A29" s="102" t="s">
        <v>37</v>
      </c>
      <c r="B29" s="146"/>
      <c r="C29" s="133" t="str">
        <f>_xlfn.XLOOKUP(H29,RH!$D$2:$D$116,RH!$C$2:$C$116,"Terceiro")</f>
        <v>Terceiro</v>
      </c>
      <c r="D29" s="103" t="str">
        <f t="shared" si="0"/>
        <v>1T - ROTA/8</v>
      </c>
      <c r="E29" s="103" t="s">
        <v>38</v>
      </c>
      <c r="F29" s="103" t="s">
        <v>69</v>
      </c>
      <c r="G29" s="103" t="s">
        <v>200</v>
      </c>
      <c r="H29" s="14" t="s">
        <v>201</v>
      </c>
      <c r="I29" s="102" t="s">
        <v>86</v>
      </c>
      <c r="J29" s="102" t="s">
        <v>87</v>
      </c>
      <c r="K29" s="106">
        <v>45665</v>
      </c>
      <c r="L29" s="102" t="str">
        <f t="shared" si="1"/>
        <v>RUA AEROLINHA ESPANHA, 80, GEORGE AMERICO, FEIRA DE SANTANA, BAHIA, BRASIL</v>
      </c>
      <c r="M29" s="102" t="s">
        <v>202</v>
      </c>
      <c r="N29" s="102">
        <v>80</v>
      </c>
      <c r="O29" s="102" t="s">
        <v>203</v>
      </c>
      <c r="P29" s="102" t="s">
        <v>45</v>
      </c>
      <c r="Q29" s="102" t="s">
        <v>204</v>
      </c>
      <c r="R29" s="102" t="s">
        <v>205</v>
      </c>
      <c r="S29" s="102"/>
      <c r="T29" s="102"/>
    </row>
    <row r="30" spans="1:20" ht="13.5">
      <c r="A30" s="102" t="s">
        <v>37</v>
      </c>
      <c r="B30" s="146"/>
      <c r="C30" s="133">
        <f>_xlfn.XLOOKUP(H30,RH!$D$2:$D$116,RH!$C$2:$C$116,"Terceiro")</f>
        <v>81218214</v>
      </c>
      <c r="D30" s="103" t="str">
        <f t="shared" si="0"/>
        <v>1T - ROTA/5</v>
      </c>
      <c r="E30" s="103" t="s">
        <v>38</v>
      </c>
      <c r="F30" s="103" t="s">
        <v>39</v>
      </c>
      <c r="G30" s="103" t="s">
        <v>206</v>
      </c>
      <c r="H30" s="110" t="s">
        <v>207</v>
      </c>
      <c r="I30" s="102" t="s">
        <v>42</v>
      </c>
      <c r="J30" s="102" t="str">
        <f>_xlfn.XLOOKUP(H30,RH!$D$2:$D$116,RH!$K$2:$K$116,"Terceiro")</f>
        <v>BR1A004</v>
      </c>
      <c r="K30" s="106">
        <v>45789</v>
      </c>
      <c r="L30" s="102" t="str">
        <f t="shared" si="1"/>
        <v>RUA SEIS, 7, FEIRA VII, FEIRA DE SANTANA, BAHIA, BRASIL</v>
      </c>
      <c r="M30" s="104" t="s">
        <v>208</v>
      </c>
      <c r="N30" s="102">
        <v>7</v>
      </c>
      <c r="O30" s="108" t="s">
        <v>125</v>
      </c>
      <c r="P30" s="102" t="s">
        <v>45</v>
      </c>
      <c r="Q30" s="102" t="s">
        <v>209</v>
      </c>
      <c r="R30" s="102" t="s">
        <v>210</v>
      </c>
      <c r="S30" s="102"/>
      <c r="T30" s="102"/>
    </row>
    <row r="31" spans="1:20">
      <c r="A31" s="102" t="s">
        <v>37</v>
      </c>
      <c r="B31" s="146"/>
      <c r="C31" s="133">
        <f>_xlfn.XLOOKUP(H31,RH!$D$2:$D$116,RH!$C$2:$C$116,"Terceiro")</f>
        <v>40185173</v>
      </c>
      <c r="D31" s="103" t="str">
        <f t="shared" si="0"/>
        <v>3T - ROTA/1</v>
      </c>
      <c r="E31" s="103" t="s">
        <v>63</v>
      </c>
      <c r="F31" s="103" t="s">
        <v>56</v>
      </c>
      <c r="G31" s="16" t="s">
        <v>211</v>
      </c>
      <c r="H31" s="16" t="s">
        <v>212</v>
      </c>
      <c r="I31" s="102" t="s">
        <v>42</v>
      </c>
      <c r="J31" s="102" t="str">
        <f>_xlfn.XLOOKUP(H31,RH!$D$2:$D$116,RH!$K$2:$K$116,"Terceiro")</f>
        <v>BR1A007</v>
      </c>
      <c r="K31" s="106">
        <v>40924</v>
      </c>
      <c r="L31" s="102" t="str">
        <f t="shared" si="1"/>
        <v>Rua Camboriú, 50, SIM, FEIRA DE SANTANA, BAHIA, BRASIL</v>
      </c>
      <c r="M31" s="103" t="s">
        <v>213</v>
      </c>
      <c r="N31" s="103">
        <v>50</v>
      </c>
      <c r="O31" s="103" t="s">
        <v>37</v>
      </c>
      <c r="P31" s="102" t="s">
        <v>45</v>
      </c>
      <c r="Q31" s="103" t="s">
        <v>214</v>
      </c>
      <c r="R31" s="103" t="s">
        <v>215</v>
      </c>
      <c r="S31" s="102"/>
      <c r="T31" s="102"/>
    </row>
    <row r="32" spans="1:20">
      <c r="A32" s="102" t="s">
        <v>37</v>
      </c>
      <c r="B32" s="146"/>
      <c r="C32" s="133">
        <f>_xlfn.XLOOKUP(H32,RH!$D$2:$D$116,RH!$C$2:$C$116,"Terceiro")</f>
        <v>40175823</v>
      </c>
      <c r="D32" s="103" t="str">
        <f t="shared" si="0"/>
        <v>2T - ROTA/5</v>
      </c>
      <c r="E32" s="103" t="s">
        <v>55</v>
      </c>
      <c r="F32" s="103" t="s">
        <v>39</v>
      </c>
      <c r="G32" s="103" t="s">
        <v>216</v>
      </c>
      <c r="H32" s="16" t="s">
        <v>217</v>
      </c>
      <c r="I32" s="102" t="s">
        <v>42</v>
      </c>
      <c r="J32" s="102" t="str">
        <f>_xlfn.XLOOKUP(H32,RH!$D$2:$D$116,RH!$K$2:$K$116,"Terceiro")</f>
        <v>BR1A294</v>
      </c>
      <c r="K32" s="106">
        <v>40756</v>
      </c>
      <c r="L32" s="102" t="str">
        <f t="shared" si="1"/>
        <v>RUA PROFª. ELISA FERNANDES, 23, CAMPO LIMPO, FEIRA DE SANTANA, BAHIA, BRASIL</v>
      </c>
      <c r="M32" s="103" t="s">
        <v>218</v>
      </c>
      <c r="N32" s="103">
        <v>23</v>
      </c>
      <c r="O32" s="103" t="s">
        <v>150</v>
      </c>
      <c r="P32" s="102" t="s">
        <v>45</v>
      </c>
      <c r="Q32" s="103" t="s">
        <v>219</v>
      </c>
      <c r="R32" s="103" t="s">
        <v>220</v>
      </c>
      <c r="S32" s="102"/>
      <c r="T32" s="102"/>
    </row>
    <row r="33" spans="1:20">
      <c r="A33" s="102" t="s">
        <v>37</v>
      </c>
      <c r="B33" s="146"/>
      <c r="C33" s="133">
        <f>_xlfn.XLOOKUP(H33,RH!$D$2:$D$116,RH!$C$2:$C$116,"Terceiro")</f>
        <v>80851941</v>
      </c>
      <c r="D33" s="103" t="str">
        <f t="shared" si="0"/>
        <v>1T - ROTA/5</v>
      </c>
      <c r="E33" s="103" t="s">
        <v>38</v>
      </c>
      <c r="F33" s="103" t="s">
        <v>39</v>
      </c>
      <c r="G33" s="103" t="s">
        <v>221</v>
      </c>
      <c r="H33" s="14" t="s">
        <v>222</v>
      </c>
      <c r="I33" s="102" t="s">
        <v>42</v>
      </c>
      <c r="J33" s="102" t="str">
        <f>_xlfn.XLOOKUP(H33,RH!$D$2:$D$116,RH!$K$2:$K$116,"Terceiro")</f>
        <v>BR1A010</v>
      </c>
      <c r="K33" s="106">
        <v>44382</v>
      </c>
      <c r="L33" s="102" t="str">
        <f t="shared" si="1"/>
        <v>RUA PROJETADA, 27, PANORAMA, FEIRA DE SANTANA, BAHIA, BRASIL</v>
      </c>
      <c r="M33" s="102" t="s">
        <v>223</v>
      </c>
      <c r="N33" s="102">
        <v>27</v>
      </c>
      <c r="O33" s="102" t="s">
        <v>44</v>
      </c>
      <c r="P33" s="102" t="s">
        <v>45</v>
      </c>
      <c r="Q33" s="102" t="s">
        <v>224</v>
      </c>
      <c r="R33" s="102" t="s">
        <v>225</v>
      </c>
      <c r="S33" s="102"/>
      <c r="T33" s="102"/>
    </row>
    <row r="34" spans="1:20">
      <c r="A34" s="102" t="s">
        <v>37</v>
      </c>
      <c r="B34" s="146"/>
      <c r="C34" s="133">
        <f>_xlfn.XLOOKUP(H34,RH!$D$2:$D$116,RH!$C$2:$C$116,"Terceiro")</f>
        <v>40285831</v>
      </c>
      <c r="D34" s="103" t="str">
        <f t="shared" ref="D34:D65" si="2">E34&amp;" - "&amp;F34</f>
        <v>1T - ROTA/2</v>
      </c>
      <c r="E34" s="103" t="s">
        <v>38</v>
      </c>
      <c r="F34" s="103" t="s">
        <v>102</v>
      </c>
      <c r="G34" s="103" t="s">
        <v>226</v>
      </c>
      <c r="H34" s="16" t="s">
        <v>227</v>
      </c>
      <c r="I34" s="102" t="s">
        <v>42</v>
      </c>
      <c r="J34" s="102" t="str">
        <f>_xlfn.XLOOKUP(H34,RH!$D$2:$D$116,RH!$K$2:$K$116,"Terceiro")</f>
        <v>BR1A010</v>
      </c>
      <c r="K34" s="106">
        <v>41925</v>
      </c>
      <c r="L34" s="102" t="str">
        <f t="shared" si="1"/>
        <v>PRAÇA SÃO ROQUE, N/A, MATINHA, MATINHA, BAHIA, BRASIL</v>
      </c>
      <c r="M34" s="102" t="s">
        <v>228</v>
      </c>
      <c r="N34" s="102" t="s">
        <v>60</v>
      </c>
      <c r="O34" s="102" t="s">
        <v>229</v>
      </c>
      <c r="P34" s="102" t="s">
        <v>229</v>
      </c>
      <c r="Q34" s="102" t="s">
        <v>228</v>
      </c>
      <c r="R34" s="105" t="s">
        <v>228</v>
      </c>
      <c r="S34" s="102"/>
      <c r="T34" s="102"/>
    </row>
    <row r="35" spans="1:20">
      <c r="A35" s="102" t="s">
        <v>37</v>
      </c>
      <c r="B35" s="146"/>
      <c r="C35" s="133">
        <f>_xlfn.XLOOKUP(H35,RH!$D$2:$D$116,RH!$C$2:$C$116,"Terceiro")</f>
        <v>80997938</v>
      </c>
      <c r="D35" s="103" t="str">
        <f t="shared" si="2"/>
        <v>1T - ROTA/5</v>
      </c>
      <c r="E35" s="103" t="s">
        <v>38</v>
      </c>
      <c r="F35" s="103" t="s">
        <v>39</v>
      </c>
      <c r="G35" s="103" t="s">
        <v>230</v>
      </c>
      <c r="H35" s="14" t="s">
        <v>231</v>
      </c>
      <c r="I35" s="102" t="s">
        <v>42</v>
      </c>
      <c r="J35" s="102" t="str">
        <f>_xlfn.XLOOKUP(H35,RH!$D$2:$D$116,RH!$K$2:$K$116,"Terceiro")</f>
        <v>BR1A009</v>
      </c>
      <c r="K35" s="106">
        <v>44872</v>
      </c>
      <c r="L35" s="102" t="str">
        <f t="shared" si="1"/>
        <v>RESIDENCIAL MORADA FELIZ, RUA 1, N/A, FRATERNIDADE, FEIRA DE SANTANA, BAHIA, BRASIL</v>
      </c>
      <c r="M35" s="102" t="s">
        <v>232</v>
      </c>
      <c r="N35" s="102" t="s">
        <v>60</v>
      </c>
      <c r="O35" s="102" t="s">
        <v>143</v>
      </c>
      <c r="P35" s="102" t="s">
        <v>45</v>
      </c>
      <c r="Q35" s="102" t="s">
        <v>233</v>
      </c>
      <c r="R35" s="102" t="s">
        <v>234</v>
      </c>
      <c r="S35" s="102"/>
      <c r="T35" s="102"/>
    </row>
    <row r="36" spans="1:20">
      <c r="A36" s="102" t="s">
        <v>37</v>
      </c>
      <c r="B36" s="146"/>
      <c r="C36" s="133" t="str">
        <f>_xlfn.XLOOKUP(H36,RH!$D$2:$D$116,RH!$C$2:$C$116,"Terceiro")</f>
        <v>Terceiro</v>
      </c>
      <c r="D36" s="103" t="str">
        <f t="shared" si="2"/>
        <v>ADM ESPECIAL - ROTA/5</v>
      </c>
      <c r="E36" s="103" t="s">
        <v>235</v>
      </c>
      <c r="F36" s="103" t="s">
        <v>39</v>
      </c>
      <c r="G36" s="103" t="s">
        <v>236</v>
      </c>
      <c r="H36" s="102" t="s">
        <v>237</v>
      </c>
      <c r="I36" s="102" t="s">
        <v>86</v>
      </c>
      <c r="J36" s="102" t="s">
        <v>87</v>
      </c>
      <c r="K36" s="106">
        <v>45665</v>
      </c>
      <c r="L36" s="102" t="str">
        <f t="shared" si="1"/>
        <v>RUA AEROLINA ESPANHA, N/A, GEORGE AMERICO, FEIRA DE SANTANA, BAHIA, BRASIL</v>
      </c>
      <c r="M36" s="102" t="s">
        <v>238</v>
      </c>
      <c r="N36" s="102" t="s">
        <v>60</v>
      </c>
      <c r="O36" s="102" t="s">
        <v>203</v>
      </c>
      <c r="P36" s="102" t="s">
        <v>45</v>
      </c>
      <c r="Q36" s="102" t="s">
        <v>239</v>
      </c>
      <c r="R36" s="102" t="s">
        <v>239</v>
      </c>
      <c r="S36" s="102"/>
      <c r="T36" s="102"/>
    </row>
    <row r="37" spans="1:20">
      <c r="A37" s="102" t="s">
        <v>37</v>
      </c>
      <c r="B37" s="146"/>
      <c r="C37" s="133">
        <f>_xlfn.XLOOKUP(H37,RH!$D$2:$D$116,RH!$C$2:$C$116,"Terceiro")</f>
        <v>40277251</v>
      </c>
      <c r="D37" s="103" t="str">
        <f t="shared" si="2"/>
        <v>1T - ROTA/4</v>
      </c>
      <c r="E37" s="103" t="s">
        <v>38</v>
      </c>
      <c r="F37" s="103" t="s">
        <v>83</v>
      </c>
      <c r="G37" s="103" t="s">
        <v>240</v>
      </c>
      <c r="H37" s="14" t="s">
        <v>241</v>
      </c>
      <c r="I37" s="102" t="s">
        <v>42</v>
      </c>
      <c r="J37" s="102" t="str">
        <f>_xlfn.XLOOKUP(H37,RH!$D$2:$D$116,RH!$K$2:$K$116,"Terceiro")</f>
        <v>BR1A010</v>
      </c>
      <c r="K37" s="106">
        <v>41792</v>
      </c>
      <c r="L37" s="102" t="str">
        <f t="shared" si="1"/>
        <v>AV. RUBENS DE CARVALHO, 265, VILA OLIMPIA, FEIRA DE SANTANA, BAHIA, BRASIL</v>
      </c>
      <c r="M37" s="102" t="s">
        <v>242</v>
      </c>
      <c r="N37" s="102">
        <v>265</v>
      </c>
      <c r="O37" s="102" t="s">
        <v>243</v>
      </c>
      <c r="P37" s="102" t="s">
        <v>45</v>
      </c>
      <c r="Q37" s="102" t="s">
        <v>244</v>
      </c>
      <c r="R37" s="102" t="s">
        <v>245</v>
      </c>
      <c r="S37" s="102"/>
      <c r="T37" s="102"/>
    </row>
    <row r="38" spans="1:20">
      <c r="A38" s="102" t="s">
        <v>37</v>
      </c>
      <c r="B38" s="146"/>
      <c r="C38" s="133">
        <f>_xlfn.XLOOKUP(H38,RH!$D$2:$D$116,RH!$C$2:$C$116,"Terceiro")</f>
        <v>40297022</v>
      </c>
      <c r="D38" s="103" t="str">
        <f t="shared" si="2"/>
        <v>1T - ROTA/8</v>
      </c>
      <c r="E38" s="103" t="s">
        <v>38</v>
      </c>
      <c r="F38" s="103" t="s">
        <v>69</v>
      </c>
      <c r="G38" s="103" t="s">
        <v>246</v>
      </c>
      <c r="H38" s="14" t="s">
        <v>247</v>
      </c>
      <c r="I38" s="102" t="s">
        <v>42</v>
      </c>
      <c r="J38" s="102" t="str">
        <f>_xlfn.XLOOKUP(H38,RH!$D$2:$D$116,RH!$K$2:$K$116,"Terceiro")</f>
        <v>BR1A312</v>
      </c>
      <c r="K38" s="106">
        <v>42142</v>
      </c>
      <c r="L38" s="102" t="str">
        <f t="shared" si="1"/>
        <v>RUA ALTO DE SANTANA, N/A, GABRIELA, FEIRA DE SANTANA, BAHIA, BRASIL</v>
      </c>
      <c r="M38" s="102" t="s">
        <v>248</v>
      </c>
      <c r="N38" s="102" t="s">
        <v>60</v>
      </c>
      <c r="O38" s="102" t="s">
        <v>118</v>
      </c>
      <c r="P38" s="102" t="s">
        <v>45</v>
      </c>
      <c r="Q38" s="102" t="s">
        <v>249</v>
      </c>
      <c r="R38" s="102" t="s">
        <v>250</v>
      </c>
      <c r="S38" s="102"/>
      <c r="T38" s="102"/>
    </row>
    <row r="39" spans="1:20">
      <c r="A39" s="102" t="s">
        <v>37</v>
      </c>
      <c r="B39" s="146"/>
      <c r="C39" s="133">
        <f>_xlfn.XLOOKUP(H39,RH!$D$2:$D$116,RH!$C$2:$C$116,"Terceiro")</f>
        <v>80185857</v>
      </c>
      <c r="D39" s="103" t="str">
        <f t="shared" si="2"/>
        <v>2T - ROTA/2</v>
      </c>
      <c r="E39" s="103" t="s">
        <v>55</v>
      </c>
      <c r="F39" s="103" t="s">
        <v>102</v>
      </c>
      <c r="G39" s="103" t="s">
        <v>251</v>
      </c>
      <c r="H39" s="109" t="s">
        <v>252</v>
      </c>
      <c r="I39" s="102" t="s">
        <v>42</v>
      </c>
      <c r="J39" s="102" t="str">
        <f>_xlfn.XLOOKUP(H39,RH!$D$2:$D$116,RH!$K$2:$K$116,"Terceiro")</f>
        <v>BR1A312</v>
      </c>
      <c r="K39" s="106">
        <v>43598</v>
      </c>
      <c r="L39" s="102" t="str">
        <f t="shared" si="1"/>
        <v>RUA QUINTANDUBA, 103, CONCEIÇÃO I, FEIRA DE SANTANA, BAHIA, BRASIL</v>
      </c>
      <c r="M39" s="104" t="s">
        <v>253</v>
      </c>
      <c r="N39" s="102">
        <v>103</v>
      </c>
      <c r="O39" s="109" t="s">
        <v>254</v>
      </c>
      <c r="P39" s="102" t="s">
        <v>45</v>
      </c>
      <c r="Q39" s="102" t="s">
        <v>255</v>
      </c>
      <c r="R39" s="102" t="s">
        <v>256</v>
      </c>
      <c r="S39" s="102"/>
      <c r="T39" s="102"/>
    </row>
    <row r="40" spans="1:20">
      <c r="A40" s="102" t="s">
        <v>37</v>
      </c>
      <c r="B40" s="146"/>
      <c r="C40" s="133">
        <f>_xlfn.XLOOKUP(H40,RH!$D$2:$D$116,RH!$C$2:$C$116,"Terceiro")</f>
        <v>80143927</v>
      </c>
      <c r="D40" s="103" t="str">
        <f t="shared" si="2"/>
        <v>2T - ROTA/5</v>
      </c>
      <c r="E40" s="103" t="s">
        <v>55</v>
      </c>
      <c r="F40" s="103" t="s">
        <v>39</v>
      </c>
      <c r="G40" s="103" t="s">
        <v>257</v>
      </c>
      <c r="H40" s="16" t="s">
        <v>258</v>
      </c>
      <c r="I40" s="102" t="s">
        <v>42</v>
      </c>
      <c r="J40" s="102" t="str">
        <f>_xlfn.XLOOKUP(H40,RH!$D$2:$D$116,RH!$K$2:$K$116,"Terceiro")</f>
        <v>BR1A312</v>
      </c>
      <c r="K40" s="106">
        <v>43353</v>
      </c>
      <c r="L40" s="102" t="str">
        <f t="shared" si="1"/>
        <v>RUA J, 26, CIDADE NOVA, FEIRA DE SANTANA, BAHIA, BRASIL</v>
      </c>
      <c r="M40" s="103" t="s">
        <v>259</v>
      </c>
      <c r="N40" s="103">
        <v>26</v>
      </c>
      <c r="O40" s="103" t="s">
        <v>260</v>
      </c>
      <c r="P40" s="102" t="s">
        <v>45</v>
      </c>
      <c r="Q40" s="103" t="s">
        <v>261</v>
      </c>
      <c r="R40" s="103" t="s">
        <v>262</v>
      </c>
      <c r="S40" s="102"/>
      <c r="T40" s="102"/>
    </row>
    <row r="41" spans="1:20">
      <c r="A41" s="102" t="s">
        <v>37</v>
      </c>
      <c r="B41" s="146"/>
      <c r="C41" s="133">
        <f>_xlfn.XLOOKUP(H41,RH!$D$2:$D$116,RH!$C$2:$C$116,"Terceiro")</f>
        <v>80013790</v>
      </c>
      <c r="D41" s="103" t="str">
        <f t="shared" si="2"/>
        <v>2T - ROTA/4</v>
      </c>
      <c r="E41" s="103" t="s">
        <v>55</v>
      </c>
      <c r="F41" s="103" t="s">
        <v>83</v>
      </c>
      <c r="G41" s="103" t="s">
        <v>263</v>
      </c>
      <c r="H41" s="16" t="s">
        <v>264</v>
      </c>
      <c r="I41" s="102" t="s">
        <v>42</v>
      </c>
      <c r="J41" s="102" t="str">
        <f>_xlfn.XLOOKUP(H41,RH!$D$2:$D$116,RH!$K$2:$K$116,"Terceiro")</f>
        <v>BR1A312</v>
      </c>
      <c r="K41" s="106">
        <v>42436</v>
      </c>
      <c r="L41" s="102" t="str">
        <f t="shared" si="1"/>
        <v>RUA ESPAÇO SIDERAL, 15, AMELIA RODRIGUES, FEIRA DE SANTANA, BAHIA, BRASIL</v>
      </c>
      <c r="M41" s="103" t="s">
        <v>265</v>
      </c>
      <c r="N41" s="103">
        <v>15</v>
      </c>
      <c r="O41" s="103" t="s">
        <v>266</v>
      </c>
      <c r="P41" s="102" t="s">
        <v>45</v>
      </c>
      <c r="Q41" s="103" t="s">
        <v>267</v>
      </c>
      <c r="R41" s="103" t="s">
        <v>268</v>
      </c>
      <c r="S41" s="102"/>
      <c r="T41" s="102"/>
    </row>
    <row r="42" spans="1:20">
      <c r="A42" s="102" t="s">
        <v>37</v>
      </c>
      <c r="B42" s="146"/>
      <c r="C42" s="133">
        <f>_xlfn.XLOOKUP(H42,RH!$D$2:$D$116,RH!$C$2:$C$116,"Terceiro")</f>
        <v>81003485</v>
      </c>
      <c r="D42" s="103" t="str">
        <f t="shared" si="2"/>
        <v>3T - ROTA/1</v>
      </c>
      <c r="E42" s="103" t="s">
        <v>63</v>
      </c>
      <c r="F42" s="103" t="s">
        <v>56</v>
      </c>
      <c r="G42" s="16" t="s">
        <v>269</v>
      </c>
      <c r="H42" s="16" t="s">
        <v>270</v>
      </c>
      <c r="I42" s="102" t="s">
        <v>42</v>
      </c>
      <c r="J42" s="102" t="str">
        <f>_xlfn.XLOOKUP(H42,RH!$D$2:$D$116,RH!$K$2:$K$116,"Terceiro")</f>
        <v>BR1A312</v>
      </c>
      <c r="K42" s="106">
        <v>44900</v>
      </c>
      <c r="L42" s="102" t="str">
        <f t="shared" si="1"/>
        <v>CENTRO ESTADUAL DE EDUCAÇÃO PROFISSIONAL ÁUREO DE OLIVEIRA FILHO, N/A, SANTA MÔNICA, FEIRA DE SANTANA, BAHIA, BRASIL</v>
      </c>
      <c r="M42" s="103" t="s">
        <v>271</v>
      </c>
      <c r="N42" s="102" t="s">
        <v>60</v>
      </c>
      <c r="O42" s="103" t="s">
        <v>137</v>
      </c>
      <c r="P42" s="102" t="s">
        <v>45</v>
      </c>
      <c r="Q42" s="103" t="s">
        <v>272</v>
      </c>
      <c r="R42" s="103" t="s">
        <v>272</v>
      </c>
      <c r="S42" s="102"/>
      <c r="T42" s="102"/>
    </row>
    <row r="43" spans="1:20">
      <c r="A43" s="102" t="s">
        <v>37</v>
      </c>
      <c r="B43" s="146"/>
      <c r="C43" s="133">
        <f>_xlfn.XLOOKUP(H43,RH!$D$2:$D$116,RH!$C$2:$C$116,"Terceiro")</f>
        <v>81033775</v>
      </c>
      <c r="D43" s="103" t="str">
        <f t="shared" si="2"/>
        <v>3T - ROTA/1</v>
      </c>
      <c r="E43" s="103" t="s">
        <v>63</v>
      </c>
      <c r="F43" s="103" t="s">
        <v>56</v>
      </c>
      <c r="G43" s="103" t="s">
        <v>273</v>
      </c>
      <c r="H43" s="16" t="s">
        <v>274</v>
      </c>
      <c r="I43" s="102" t="s">
        <v>42</v>
      </c>
      <c r="J43" s="102" t="str">
        <f>_xlfn.XLOOKUP(H43,RH!$D$2:$D$116,RH!$K$2:$K$116,"Terceiro")</f>
        <v>BR1A312</v>
      </c>
      <c r="K43" s="106">
        <v>45019</v>
      </c>
      <c r="L43" s="102" t="str">
        <f t="shared" si="1"/>
        <v>Rua Irece, 35, JARDIM CRUZEIRO, FEIRA DE SANTANA, BAHIA, BRASIL</v>
      </c>
      <c r="M43" s="103" t="s">
        <v>275</v>
      </c>
      <c r="N43" s="103">
        <v>35</v>
      </c>
      <c r="O43" s="103" t="s">
        <v>276</v>
      </c>
      <c r="P43" s="102" t="s">
        <v>45</v>
      </c>
      <c r="Q43" s="103" t="s">
        <v>277</v>
      </c>
      <c r="R43" s="103" t="s">
        <v>278</v>
      </c>
      <c r="S43" s="102"/>
      <c r="T43" s="102"/>
    </row>
    <row r="44" spans="1:20">
      <c r="A44" s="102" t="s">
        <v>37</v>
      </c>
      <c r="B44" s="146"/>
      <c r="C44" s="133">
        <f>_xlfn.XLOOKUP(H44,RH!$D$2:$D$116,RH!$C$2:$C$116,"Terceiro")</f>
        <v>80852123</v>
      </c>
      <c r="D44" s="103" t="str">
        <f t="shared" si="2"/>
        <v>2T - ROTA/3</v>
      </c>
      <c r="E44" s="103" t="s">
        <v>55</v>
      </c>
      <c r="F44" s="103" t="s">
        <v>76</v>
      </c>
      <c r="G44" s="103" t="s">
        <v>279</v>
      </c>
      <c r="H44" s="16" t="s">
        <v>280</v>
      </c>
      <c r="I44" s="102" t="s">
        <v>42</v>
      </c>
      <c r="J44" s="102" t="str">
        <f>_xlfn.XLOOKUP(H44,RH!$D$2:$D$116,RH!$K$2:$K$116,"Terceiro")</f>
        <v>BR2A032</v>
      </c>
      <c r="K44" s="106">
        <v>44382</v>
      </c>
      <c r="L44" s="102" t="str">
        <f t="shared" si="1"/>
        <v>RUA SÃO CRISTOVÃO, 351, SANTA MÔNICA, FEIRA DE SANTANA, BAHIA, BRASIL</v>
      </c>
      <c r="M44" s="103" t="s">
        <v>281</v>
      </c>
      <c r="N44" s="103">
        <v>351</v>
      </c>
      <c r="O44" s="103" t="s">
        <v>137</v>
      </c>
      <c r="P44" s="102" t="s">
        <v>45</v>
      </c>
      <c r="Q44" s="103" t="s">
        <v>282</v>
      </c>
      <c r="R44" s="103" t="s">
        <v>283</v>
      </c>
      <c r="S44" s="102"/>
      <c r="T44" s="102"/>
    </row>
    <row r="45" spans="1:20">
      <c r="A45" s="102" t="s">
        <v>37</v>
      </c>
      <c r="B45" s="146"/>
      <c r="C45" s="133">
        <f>_xlfn.XLOOKUP(H45,RH!$D$2:$D$116,RH!$C$2:$C$116,"Terceiro")</f>
        <v>81170000</v>
      </c>
      <c r="D45" s="103" t="str">
        <f t="shared" si="2"/>
        <v>1T - ROTA/10</v>
      </c>
      <c r="E45" s="103" t="s">
        <v>38</v>
      </c>
      <c r="F45" s="103" t="s">
        <v>146</v>
      </c>
      <c r="G45" s="103" t="s">
        <v>284</v>
      </c>
      <c r="H45" s="103" t="s">
        <v>285</v>
      </c>
      <c r="I45" s="102" t="s">
        <v>42</v>
      </c>
      <c r="J45" s="102" t="str">
        <f>_xlfn.XLOOKUP(H45,RH!$D$2:$D$116,RH!$K$2:$K$116,"Terceiro")</f>
        <v>BR1A312</v>
      </c>
      <c r="K45" s="106">
        <v>45516</v>
      </c>
      <c r="L45" s="102" t="str">
        <f t="shared" si="1"/>
        <v>RUA DA AVIAÇÃO, 565, CAMPO LIMPO, FEIRA DE SANTANA, BAHIA, BRASIL</v>
      </c>
      <c r="M45" s="102" t="s">
        <v>286</v>
      </c>
      <c r="N45" s="102">
        <v>565</v>
      </c>
      <c r="O45" s="109" t="s">
        <v>150</v>
      </c>
      <c r="P45" s="102" t="s">
        <v>45</v>
      </c>
      <c r="Q45" s="102" t="s">
        <v>287</v>
      </c>
      <c r="R45" s="105" t="s">
        <v>287</v>
      </c>
      <c r="S45" s="102"/>
      <c r="T45" s="102"/>
    </row>
    <row r="46" spans="1:20">
      <c r="A46" s="102" t="s">
        <v>37</v>
      </c>
      <c r="B46" s="146"/>
      <c r="C46" s="133" t="str">
        <f>_xlfn.XLOOKUP(H46,RH!$D$2:$D$116,RH!$C$2:$C$116,"Terceiro")</f>
        <v>Terceiro</v>
      </c>
      <c r="D46" s="103" t="str">
        <f t="shared" si="2"/>
        <v>2T - ROTA/2</v>
      </c>
      <c r="E46" s="103" t="s">
        <v>55</v>
      </c>
      <c r="F46" s="103" t="s">
        <v>102</v>
      </c>
      <c r="G46" s="103" t="s">
        <v>288</v>
      </c>
      <c r="H46" s="102" t="s">
        <v>289</v>
      </c>
      <c r="I46" s="102" t="s">
        <v>86</v>
      </c>
      <c r="J46" s="102" t="s">
        <v>87</v>
      </c>
      <c r="K46" s="106">
        <v>45665</v>
      </c>
      <c r="L46" s="102" t="str">
        <f t="shared" si="1"/>
        <v>AV. IGUATEMI, 528, , FEIRA DE SANTANA, BAHIA, BRASIL</v>
      </c>
      <c r="M46" s="105" t="s">
        <v>290</v>
      </c>
      <c r="N46" s="102">
        <v>528</v>
      </c>
      <c r="O46" s="108"/>
      <c r="P46" s="102" t="s">
        <v>45</v>
      </c>
      <c r="Q46" s="105" t="s">
        <v>291</v>
      </c>
      <c r="R46" s="102" t="s">
        <v>292</v>
      </c>
      <c r="S46" s="102"/>
      <c r="T46" s="102"/>
    </row>
    <row r="47" spans="1:20">
      <c r="A47" s="102" t="s">
        <v>37</v>
      </c>
      <c r="B47" s="146"/>
      <c r="C47" s="133">
        <f>_xlfn.XLOOKUP(H47,RH!$D$2:$D$116,RH!$C$2:$C$116,"Terceiro")</f>
        <v>81232514</v>
      </c>
      <c r="D47" s="103" t="str">
        <f t="shared" si="2"/>
        <v>2T - ROTA/2</v>
      </c>
      <c r="E47" s="103" t="s">
        <v>55</v>
      </c>
      <c r="F47" s="103" t="s">
        <v>102</v>
      </c>
      <c r="G47" s="103" t="s">
        <v>293</v>
      </c>
      <c r="H47" s="14" t="s">
        <v>293</v>
      </c>
      <c r="I47" s="102" t="s">
        <v>42</v>
      </c>
      <c r="J47" s="102" t="str">
        <f>_xlfn.XLOOKUP(H47,RH!$D$2:$D$116,RH!$K$2:$K$116,"Terceiro")</f>
        <v>BR1A002</v>
      </c>
      <c r="K47" s="106"/>
      <c r="L47" s="102" t="str">
        <f t="shared" si="1"/>
        <v>RUA DESEMBARGADOR RAYMUNDO CARNEIRO PINTO, 66, SIM, FEIRA DE SANTANA, BAHIA, BRASIL</v>
      </c>
      <c r="M47" s="102" t="s">
        <v>294</v>
      </c>
      <c r="N47" s="102">
        <v>66</v>
      </c>
      <c r="O47" s="102" t="s">
        <v>37</v>
      </c>
      <c r="P47" s="102" t="s">
        <v>45</v>
      </c>
      <c r="Q47" s="102" t="s">
        <v>295</v>
      </c>
      <c r="R47" s="102"/>
      <c r="S47" s="102"/>
      <c r="T47" s="102"/>
    </row>
    <row r="48" spans="1:20" s="128" customFormat="1">
      <c r="A48" s="102" t="s">
        <v>37</v>
      </c>
      <c r="B48" s="146"/>
      <c r="C48" s="133">
        <f>_xlfn.XLOOKUP(H48,RH!$D$2:$D$116,RH!$C$2:$C$116,"Terceiro")</f>
        <v>81193221</v>
      </c>
      <c r="D48" s="103" t="str">
        <f t="shared" si="2"/>
        <v>3T - ROTA/1</v>
      </c>
      <c r="E48" s="103" t="s">
        <v>63</v>
      </c>
      <c r="F48" s="103" t="s">
        <v>56</v>
      </c>
      <c r="G48" s="103" t="s">
        <v>296</v>
      </c>
      <c r="H48" s="16" t="s">
        <v>297</v>
      </c>
      <c r="I48" s="102" t="s">
        <v>42</v>
      </c>
      <c r="J48" s="102" t="str">
        <f>_xlfn.XLOOKUP(H48,RH!$D$2:$D$116,RH!$K$2:$K$116,"Terceiro")</f>
        <v>BR1A004</v>
      </c>
      <c r="K48" s="106">
        <v>45663</v>
      </c>
      <c r="L48" s="102" t="str">
        <f t="shared" si="1"/>
        <v>Rua Corunha, 296, CONCEIÇÃO I, FEIRA DE SANTANA, BAHIA, BRASIL</v>
      </c>
      <c r="M48" s="103" t="s">
        <v>298</v>
      </c>
      <c r="N48" s="103">
        <v>296</v>
      </c>
      <c r="O48" s="103" t="s">
        <v>254</v>
      </c>
      <c r="P48" s="102" t="s">
        <v>45</v>
      </c>
      <c r="Q48" s="103" t="s">
        <v>299</v>
      </c>
      <c r="R48" s="103"/>
      <c r="S48" s="102"/>
      <c r="T48" s="102"/>
    </row>
    <row r="49" spans="1:20">
      <c r="A49" s="102" t="s">
        <v>37</v>
      </c>
      <c r="B49" s="146"/>
      <c r="C49" s="133" t="str">
        <f>_xlfn.XLOOKUP(H49,RH!$D$2:$D$116,RH!$C$2:$C$116,"Terceiro")</f>
        <v>Terceiro</v>
      </c>
      <c r="D49" s="103" t="str">
        <f t="shared" si="2"/>
        <v>1T - ROTA/5</v>
      </c>
      <c r="E49" s="103" t="s">
        <v>38</v>
      </c>
      <c r="F49" s="103" t="s">
        <v>39</v>
      </c>
      <c r="G49" s="103" t="s">
        <v>300</v>
      </c>
      <c r="H49" s="103" t="s">
        <v>301</v>
      </c>
      <c r="I49" s="102" t="s">
        <v>86</v>
      </c>
      <c r="J49" s="102" t="s">
        <v>87</v>
      </c>
      <c r="K49" s="106">
        <v>45665</v>
      </c>
      <c r="L49" s="102" t="str">
        <f t="shared" si="1"/>
        <v>RUA EL SALVADOR, 2543, FEIRA VII, FEIRA DE SANTANA, BAHIA, BRASIL</v>
      </c>
      <c r="M49" s="102" t="s">
        <v>124</v>
      </c>
      <c r="N49" s="102">
        <v>2543</v>
      </c>
      <c r="O49" s="102" t="s">
        <v>125</v>
      </c>
      <c r="P49" s="102" t="s">
        <v>45</v>
      </c>
      <c r="Q49" s="102" t="s">
        <v>302</v>
      </c>
      <c r="R49" s="102" t="s">
        <v>303</v>
      </c>
      <c r="S49" s="102"/>
      <c r="T49" s="102"/>
    </row>
    <row r="50" spans="1:20">
      <c r="A50" s="102" t="s">
        <v>37</v>
      </c>
      <c r="B50" s="146"/>
      <c r="C50" s="133">
        <f>_xlfn.XLOOKUP(H50,RH!$D$2:$D$116,RH!$C$2:$C$116,"Terceiro")</f>
        <v>80900231</v>
      </c>
      <c r="D50" s="103" t="str">
        <f t="shared" si="2"/>
        <v>ADM - ROTA/2</v>
      </c>
      <c r="E50" s="103" t="s">
        <v>13</v>
      </c>
      <c r="F50" s="103" t="s">
        <v>102</v>
      </c>
      <c r="G50" s="103" t="s">
        <v>304</v>
      </c>
      <c r="H50" s="102" t="s">
        <v>305</v>
      </c>
      <c r="I50" s="102" t="s">
        <v>42</v>
      </c>
      <c r="J50" s="102" t="str">
        <f>_xlfn.XLOOKUP(H50,RH!$D$2:$D$116,RH!$K$2:$K$116,"Terceiro")</f>
        <v>BR1A002</v>
      </c>
      <c r="K50" s="106">
        <v>44564</v>
      </c>
      <c r="L50" s="102" t="str">
        <f t="shared" si="1"/>
        <v>RUA ALMEIDA DAS ARVORES, N/A, MANGABEIRA, FEIRA DE SANTANA, BAHIA, BRASIL</v>
      </c>
      <c r="M50" s="102" t="s">
        <v>306</v>
      </c>
      <c r="N50" s="102" t="s">
        <v>60</v>
      </c>
      <c r="O50" s="102" t="s">
        <v>106</v>
      </c>
      <c r="P50" s="102" t="s">
        <v>45</v>
      </c>
      <c r="Q50" s="102" t="s">
        <v>306</v>
      </c>
      <c r="R50" s="102" t="s">
        <v>307</v>
      </c>
      <c r="S50" s="102"/>
      <c r="T50" s="102"/>
    </row>
    <row r="51" spans="1:20">
      <c r="A51" s="102" t="s">
        <v>37</v>
      </c>
      <c r="B51" s="146"/>
      <c r="C51" s="133" t="str">
        <f>_xlfn.XLOOKUP(H51,RH!$D$2:$D$116,RH!$C$2:$C$116,"Terceiro")</f>
        <v>Terceiro</v>
      </c>
      <c r="D51" s="102" t="str">
        <f t="shared" si="2"/>
        <v>2T - ROTA/3</v>
      </c>
      <c r="E51" s="102" t="s">
        <v>55</v>
      </c>
      <c r="F51" s="102" t="s">
        <v>76</v>
      </c>
      <c r="G51" s="102" t="s">
        <v>308</v>
      </c>
      <c r="H51" s="14" t="s">
        <v>309</v>
      </c>
      <c r="I51" s="102" t="s">
        <v>86</v>
      </c>
      <c r="J51" s="102" t="s">
        <v>87</v>
      </c>
      <c r="K51" s="106">
        <v>45665</v>
      </c>
      <c r="L51" s="102" t="str">
        <f t="shared" si="1"/>
        <v>RUA MOGI DAS CRUZES, N/A, , FEIRA DE SANTANA, BAHIA, BRASIL</v>
      </c>
      <c r="M51" s="102" t="s">
        <v>310</v>
      </c>
      <c r="N51" s="102" t="s">
        <v>60</v>
      </c>
      <c r="O51" s="102"/>
      <c r="P51" s="102" t="s">
        <v>45</v>
      </c>
      <c r="Q51" s="102" t="s">
        <v>311</v>
      </c>
      <c r="R51" s="102" t="s">
        <v>312</v>
      </c>
      <c r="S51" s="102"/>
      <c r="T51" s="102"/>
    </row>
    <row r="52" spans="1:20">
      <c r="A52" s="102" t="s">
        <v>37</v>
      </c>
      <c r="B52" s="146"/>
      <c r="C52" s="133" t="str">
        <f>_xlfn.XLOOKUP(H52,RH!$D$2:$D$116,RH!$C$2:$C$116,"Terceiro")</f>
        <v>Terceiro</v>
      </c>
      <c r="D52" s="103" t="str">
        <f t="shared" si="2"/>
        <v>ADM ESPECIAL - ROTA/2</v>
      </c>
      <c r="E52" s="103" t="s">
        <v>235</v>
      </c>
      <c r="F52" s="103" t="s">
        <v>102</v>
      </c>
      <c r="G52" s="103" t="s">
        <v>313</v>
      </c>
      <c r="H52" s="103" t="s">
        <v>313</v>
      </c>
      <c r="I52" s="102" t="s">
        <v>86</v>
      </c>
      <c r="J52" s="102" t="s">
        <v>87</v>
      </c>
      <c r="K52" s="106">
        <v>45665</v>
      </c>
      <c r="L52" s="102" t="str">
        <f t="shared" si="1"/>
        <v>RUA QUINTO, 1027, SANTO ANTÔNIO DOS PRAZERES, FEIRA DE SANTANA, BAHIA, BRASIL</v>
      </c>
      <c r="M52" s="102" t="s">
        <v>314</v>
      </c>
      <c r="N52" s="102">
        <v>1027</v>
      </c>
      <c r="O52" s="102" t="s">
        <v>156</v>
      </c>
      <c r="P52" s="102" t="s">
        <v>45</v>
      </c>
      <c r="Q52" s="102" t="s">
        <v>314</v>
      </c>
      <c r="R52" s="102" t="s">
        <v>315</v>
      </c>
      <c r="S52" s="102"/>
      <c r="T52" s="102"/>
    </row>
    <row r="53" spans="1:20">
      <c r="A53" s="102" t="s">
        <v>37</v>
      </c>
      <c r="B53" s="146"/>
      <c r="C53" s="133">
        <f>_xlfn.XLOOKUP(H53,RH!$D$2:$D$116,RH!$C$2:$C$116,"Terceiro")</f>
        <v>40192597</v>
      </c>
      <c r="D53" s="103" t="str">
        <f t="shared" si="2"/>
        <v>ADM - ROTA/5</v>
      </c>
      <c r="E53" s="103" t="s">
        <v>13</v>
      </c>
      <c r="F53" s="103" t="s">
        <v>39</v>
      </c>
      <c r="G53" s="103" t="s">
        <v>316</v>
      </c>
      <c r="H53" s="14" t="s">
        <v>317</v>
      </c>
      <c r="I53" s="102" t="s">
        <v>42</v>
      </c>
      <c r="J53" s="102" t="str">
        <f>_xlfn.XLOOKUP(H53,RH!$D$2:$D$116,RH!$K$2:$K$116,"Terceiro")</f>
        <v>BR1A008</v>
      </c>
      <c r="K53" s="106">
        <v>41102</v>
      </c>
      <c r="L53" s="102" t="str">
        <f t="shared" si="1"/>
        <v>RUA TERESOPOLIS II, 29, CAMPO LIMPO, FEIRA DE SANTANA, BAHIA, BRASIL</v>
      </c>
      <c r="M53" s="102" t="s">
        <v>318</v>
      </c>
      <c r="N53" s="102">
        <v>29</v>
      </c>
      <c r="O53" s="102" t="s">
        <v>150</v>
      </c>
      <c r="P53" s="102" t="s">
        <v>45</v>
      </c>
      <c r="Q53" s="102" t="s">
        <v>319</v>
      </c>
      <c r="R53" s="102" t="s">
        <v>319</v>
      </c>
      <c r="S53" s="102"/>
      <c r="T53" s="102"/>
    </row>
    <row r="54" spans="1:20">
      <c r="A54" s="102" t="s">
        <v>37</v>
      </c>
      <c r="B54" s="146"/>
      <c r="C54" s="133" t="str">
        <f>_xlfn.XLOOKUP(H54,RH!$D$2:$D$116,RH!$C$2:$C$116,"Terceiro")</f>
        <v>Terceiro</v>
      </c>
      <c r="D54" s="103" t="str">
        <f t="shared" si="2"/>
        <v>ADM - ROTA/1</v>
      </c>
      <c r="E54" s="103" t="s">
        <v>13</v>
      </c>
      <c r="F54" s="103" t="s">
        <v>56</v>
      </c>
      <c r="G54" s="103" t="s">
        <v>320</v>
      </c>
      <c r="H54" s="103" t="s">
        <v>321</v>
      </c>
      <c r="I54" s="102" t="s">
        <v>322</v>
      </c>
      <c r="J54" s="102" t="s">
        <v>323</v>
      </c>
      <c r="K54" s="106">
        <v>45147</v>
      </c>
      <c r="L54" s="102" t="str">
        <f t="shared" si="1"/>
        <v>Avenida Artêmia Pires, 8147, Sim, FEIRA DE SANTANA, BAHIA, BRASIL</v>
      </c>
      <c r="M54" s="105" t="s">
        <v>94</v>
      </c>
      <c r="N54" s="102">
        <v>8147</v>
      </c>
      <c r="O54" s="102" t="s">
        <v>95</v>
      </c>
      <c r="P54" s="102" t="s">
        <v>45</v>
      </c>
      <c r="Q54" s="105" t="s">
        <v>96</v>
      </c>
      <c r="R54" s="105" t="s">
        <v>96</v>
      </c>
      <c r="S54" s="102"/>
      <c r="T54" s="102"/>
    </row>
    <row r="55" spans="1:20">
      <c r="A55" s="102" t="s">
        <v>37</v>
      </c>
      <c r="B55" s="146"/>
      <c r="C55" s="133">
        <f>_xlfn.XLOOKUP(H55,RH!$D$2:$D$116,RH!$C$2:$C$116,"Terceiro")</f>
        <v>40221612</v>
      </c>
      <c r="D55" s="103" t="str">
        <f t="shared" si="2"/>
        <v>2T - ROTA/4</v>
      </c>
      <c r="E55" s="103" t="s">
        <v>55</v>
      </c>
      <c r="F55" s="103" t="s">
        <v>83</v>
      </c>
      <c r="G55" s="103" t="s">
        <v>324</v>
      </c>
      <c r="H55" s="16" t="s">
        <v>325</v>
      </c>
      <c r="I55" s="102" t="s">
        <v>42</v>
      </c>
      <c r="J55" s="102" t="str">
        <f>_xlfn.XLOOKUP(H55,RH!$D$2:$D$116,RH!$K$2:$K$116,"Terceiro")</f>
        <v>BR1A004</v>
      </c>
      <c r="K55" s="106">
        <v>41561</v>
      </c>
      <c r="L55" s="102" t="str">
        <f t="shared" si="1"/>
        <v>RUA GENÉSIO MOREIRA, 283, HUMILDES, HUMILDES, BAHIA, BRASIL</v>
      </c>
      <c r="M55" s="103" t="s">
        <v>326</v>
      </c>
      <c r="N55" s="103">
        <v>283</v>
      </c>
      <c r="O55" s="103" t="s">
        <v>327</v>
      </c>
      <c r="P55" s="102" t="s">
        <v>327</v>
      </c>
      <c r="Q55" s="103" t="s">
        <v>328</v>
      </c>
      <c r="R55" s="103" t="s">
        <v>329</v>
      </c>
      <c r="S55" s="102"/>
      <c r="T55" s="102"/>
    </row>
    <row r="56" spans="1:20">
      <c r="A56" s="102" t="s">
        <v>37</v>
      </c>
      <c r="B56" s="146"/>
      <c r="C56" s="133">
        <f>_xlfn.XLOOKUP(H56,RH!$D$2:$D$116,RH!$C$2:$C$116,"Terceiro")</f>
        <v>81050387</v>
      </c>
      <c r="D56" s="103" t="str">
        <f t="shared" si="2"/>
        <v>1T - ROTA/6</v>
      </c>
      <c r="E56" s="103" t="s">
        <v>38</v>
      </c>
      <c r="F56" s="103" t="s">
        <v>48</v>
      </c>
      <c r="G56" s="103" t="s">
        <v>330</v>
      </c>
      <c r="H56" s="103" t="s">
        <v>331</v>
      </c>
      <c r="I56" s="102" t="s">
        <v>42</v>
      </c>
      <c r="J56" s="102" t="str">
        <f>_xlfn.XLOOKUP(H56,RH!$D$2:$D$116,RH!$K$2:$K$116,"Terceiro")</f>
        <v>BR1A002</v>
      </c>
      <c r="K56" s="106">
        <v>45082</v>
      </c>
      <c r="L56" s="102" t="str">
        <f t="shared" si="1"/>
        <v>RUA DO ROSARIO, 100, MANGABEIRA, FEIRA DE SANTANA, BAHIA, BRASIL</v>
      </c>
      <c r="M56" s="102" t="s">
        <v>332</v>
      </c>
      <c r="N56" s="102">
        <v>100</v>
      </c>
      <c r="O56" s="102" t="s">
        <v>106</v>
      </c>
      <c r="P56" s="102" t="s">
        <v>45</v>
      </c>
      <c r="Q56" s="102" t="s">
        <v>333</v>
      </c>
      <c r="R56" s="102" t="s">
        <v>334</v>
      </c>
      <c r="S56" s="102"/>
      <c r="T56" s="102"/>
    </row>
    <row r="57" spans="1:20">
      <c r="A57" s="102" t="s">
        <v>37</v>
      </c>
      <c r="B57" s="146"/>
      <c r="C57" s="133">
        <f>_xlfn.XLOOKUP(H57,RH!$D$2:$D$116,RH!$C$2:$C$116,"Terceiro")</f>
        <v>80872720</v>
      </c>
      <c r="D57" s="103" t="str">
        <f t="shared" si="2"/>
        <v>3T - ROTA/2</v>
      </c>
      <c r="E57" s="103" t="s">
        <v>63</v>
      </c>
      <c r="F57" s="103" t="s">
        <v>102</v>
      </c>
      <c r="G57" s="16" t="s">
        <v>335</v>
      </c>
      <c r="H57" s="16" t="s">
        <v>336</v>
      </c>
      <c r="I57" s="102" t="s">
        <v>42</v>
      </c>
      <c r="J57" s="102" t="str">
        <f>_xlfn.XLOOKUP(H57,RH!$D$2:$D$116,RH!$K$2:$K$116,"Terceiro")</f>
        <v>BR1A004</v>
      </c>
      <c r="K57" s="106">
        <v>44459</v>
      </c>
      <c r="L57" s="102" t="str">
        <f t="shared" si="1"/>
        <v>Rua Isaias Gonçalves, 227, TOMBA, FEIRA DE SANTANA, BAHIA, BRASIL</v>
      </c>
      <c r="M57" s="103" t="s">
        <v>337</v>
      </c>
      <c r="N57" s="103">
        <v>227</v>
      </c>
      <c r="O57" s="103" t="s">
        <v>338</v>
      </c>
      <c r="P57" s="102" t="s">
        <v>45</v>
      </c>
      <c r="Q57" s="103" t="s">
        <v>339</v>
      </c>
      <c r="R57" s="103" t="s">
        <v>340</v>
      </c>
      <c r="S57" s="102"/>
      <c r="T57" s="102"/>
    </row>
    <row r="58" spans="1:20">
      <c r="A58" s="102" t="s">
        <v>37</v>
      </c>
      <c r="B58" s="146"/>
      <c r="C58" s="133">
        <f>_xlfn.XLOOKUP(H58,RH!$D$2:$D$116,RH!$C$2:$C$116,"Terceiro")</f>
        <v>40192681</v>
      </c>
      <c r="D58" s="103" t="str">
        <f t="shared" si="2"/>
        <v>2T - ROTA/1</v>
      </c>
      <c r="E58" s="103" t="s">
        <v>55</v>
      </c>
      <c r="F58" s="103" t="s">
        <v>56</v>
      </c>
      <c r="G58" s="103" t="s">
        <v>341</v>
      </c>
      <c r="H58" s="102" t="s">
        <v>342</v>
      </c>
      <c r="I58" s="102" t="s">
        <v>42</v>
      </c>
      <c r="J58" s="102" t="str">
        <f>_xlfn.XLOOKUP(H58,RH!$D$2:$D$116,RH!$K$2:$K$116,"Terceiro")</f>
        <v>BR1A312</v>
      </c>
      <c r="K58" s="106">
        <v>41107</v>
      </c>
      <c r="L58" s="102" t="str">
        <f t="shared" si="1"/>
        <v>RUA AMADO BAHIA, N/A, PANORAMA, FEIRA DE SANTANA, BAHIA, BRASIL</v>
      </c>
      <c r="M58" s="105" t="s">
        <v>59</v>
      </c>
      <c r="N58" s="102" t="s">
        <v>60</v>
      </c>
      <c r="O58" s="102" t="s">
        <v>44</v>
      </c>
      <c r="P58" s="102" t="s">
        <v>45</v>
      </c>
      <c r="Q58" s="102" t="s">
        <v>61</v>
      </c>
      <c r="R58" s="105" t="s">
        <v>62</v>
      </c>
      <c r="S58" s="102"/>
      <c r="T58" s="102"/>
    </row>
    <row r="59" spans="1:20">
      <c r="A59" s="102" t="s">
        <v>37</v>
      </c>
      <c r="B59" s="146"/>
      <c r="C59" s="133">
        <f>_xlfn.XLOOKUP(H59,RH!$D$2:$D$116,RH!$C$2:$C$116,"Terceiro")</f>
        <v>80007458</v>
      </c>
      <c r="D59" s="103" t="str">
        <f t="shared" si="2"/>
        <v>1T - ROTA/6</v>
      </c>
      <c r="E59" s="103" t="s">
        <v>38</v>
      </c>
      <c r="F59" s="103" t="s">
        <v>48</v>
      </c>
      <c r="G59" s="103" t="s">
        <v>343</v>
      </c>
      <c r="H59" s="102" t="s">
        <v>344</v>
      </c>
      <c r="I59" s="102" t="s">
        <v>42</v>
      </c>
      <c r="J59" s="102" t="str">
        <f>_xlfn.XLOOKUP(H59,RH!$D$2:$D$116,RH!$K$2:$K$116,"Terceiro")</f>
        <v>BR1A312</v>
      </c>
      <c r="K59" s="106">
        <v>42268</v>
      </c>
      <c r="L59" s="102" t="str">
        <f t="shared" si="1"/>
        <v>AV. ANTONIO RIBEIRO MARQUES, N/A, SIM, FEIRA DE SANTANA, BAHIA, BRASIL</v>
      </c>
      <c r="M59" s="102" t="s">
        <v>345</v>
      </c>
      <c r="N59" s="102" t="s">
        <v>60</v>
      </c>
      <c r="O59" s="102" t="s">
        <v>37</v>
      </c>
      <c r="P59" s="102" t="s">
        <v>45</v>
      </c>
      <c r="Q59" s="102" t="s">
        <v>346</v>
      </c>
      <c r="R59" s="102" t="s">
        <v>347</v>
      </c>
      <c r="S59" s="102"/>
      <c r="T59" s="102"/>
    </row>
    <row r="60" spans="1:20">
      <c r="A60" s="102" t="s">
        <v>37</v>
      </c>
      <c r="B60" s="146"/>
      <c r="C60" s="133">
        <f>_xlfn.XLOOKUP(H60,RH!$D$2:$D$116,RH!$C$2:$C$116,"Terceiro")</f>
        <v>40296986</v>
      </c>
      <c r="D60" s="103" t="str">
        <f t="shared" si="2"/>
        <v>1T - ROTA/4</v>
      </c>
      <c r="E60" s="103" t="s">
        <v>38</v>
      </c>
      <c r="F60" s="103" t="s">
        <v>83</v>
      </c>
      <c r="G60" s="103" t="s">
        <v>348</v>
      </c>
      <c r="H60" s="102" t="s">
        <v>349</v>
      </c>
      <c r="I60" s="102" t="s">
        <v>42</v>
      </c>
      <c r="J60" s="102" t="str">
        <f>_xlfn.XLOOKUP(H60,RH!$D$2:$D$116,RH!$K$2:$K$116,"Terceiro")</f>
        <v>BR1A312</v>
      </c>
      <c r="K60" s="106">
        <v>42142</v>
      </c>
      <c r="L60" s="102" t="str">
        <f t="shared" si="1"/>
        <v>RUA B, CAMINHO E16, 11, FEIRA X, FEIRA DE SANTANA, BAHIA, BRASIL</v>
      </c>
      <c r="M60" s="105" t="s">
        <v>350</v>
      </c>
      <c r="N60" s="102">
        <v>11</v>
      </c>
      <c r="O60" s="109" t="s">
        <v>351</v>
      </c>
      <c r="P60" s="102" t="s">
        <v>45</v>
      </c>
      <c r="Q60" s="102" t="s">
        <v>352</v>
      </c>
      <c r="R60" s="105" t="s">
        <v>352</v>
      </c>
      <c r="S60" s="102"/>
      <c r="T60" s="102"/>
    </row>
    <row r="61" spans="1:20">
      <c r="A61" s="102" t="s">
        <v>37</v>
      </c>
      <c r="B61" s="146"/>
      <c r="C61" s="133">
        <f>_xlfn.XLOOKUP(H61,RH!$D$2:$D$116,RH!$C$2:$C$116,"Terceiro")</f>
        <v>81251042</v>
      </c>
      <c r="D61" s="103" t="str">
        <f t="shared" si="2"/>
        <v>1T - ROTA/6</v>
      </c>
      <c r="E61" s="103" t="s">
        <v>38</v>
      </c>
      <c r="F61" s="103" t="s">
        <v>48</v>
      </c>
      <c r="G61" s="16" t="s">
        <v>353</v>
      </c>
      <c r="H61" s="16" t="s">
        <v>354</v>
      </c>
      <c r="I61" s="103" t="s">
        <v>42</v>
      </c>
      <c r="J61" s="102" t="str">
        <f>_xlfn.XLOOKUP(H61,RH!$D$2:$D$116,RH!$K$2:$K$116,"Terceiro")</f>
        <v>BR1A004</v>
      </c>
      <c r="K61" s="103">
        <v>46027</v>
      </c>
      <c r="L61" s="102" t="str">
        <f t="shared" si="1"/>
        <v>RUA CATOLÉ DA ROCHA, 930, SANTO ANTÔNIO DOS PRAZERES, FEIRA DE SANTANA, BAHIA, BRASIL</v>
      </c>
      <c r="M61" s="103" t="s">
        <v>355</v>
      </c>
      <c r="N61" s="103">
        <v>930</v>
      </c>
      <c r="O61" s="102" t="s">
        <v>156</v>
      </c>
      <c r="P61" s="102" t="s">
        <v>45</v>
      </c>
      <c r="Q61" s="103" t="s">
        <v>356</v>
      </c>
      <c r="S61" s="102"/>
      <c r="T61" s="102"/>
    </row>
    <row r="62" spans="1:20">
      <c r="A62" s="102" t="s">
        <v>37</v>
      </c>
      <c r="B62" s="146"/>
      <c r="C62" s="133" t="str">
        <f>_xlfn.XLOOKUP(H62,RH!$D$2:$D$116,RH!$C$2:$C$116,"Terceiro")</f>
        <v>Terceiro</v>
      </c>
      <c r="D62" s="103" t="str">
        <f t="shared" si="2"/>
        <v>ADM - ROTA/7</v>
      </c>
      <c r="E62" s="103" t="s">
        <v>13</v>
      </c>
      <c r="F62" s="103" t="s">
        <v>357</v>
      </c>
      <c r="G62" s="103" t="s">
        <v>358</v>
      </c>
      <c r="H62" s="102" t="s">
        <v>359</v>
      </c>
      <c r="I62" s="102" t="s">
        <v>86</v>
      </c>
      <c r="J62" s="102" t="s">
        <v>87</v>
      </c>
      <c r="K62" s="106">
        <v>45665</v>
      </c>
      <c r="L62" s="102" t="str">
        <f t="shared" si="1"/>
        <v>Rua do Mercado, N/A, HUMILDES, HUMILDES, BAHIA, BRASIL</v>
      </c>
      <c r="M62" s="102" t="s">
        <v>360</v>
      </c>
      <c r="N62" s="102" t="s">
        <v>60</v>
      </c>
      <c r="O62" s="102" t="s">
        <v>327</v>
      </c>
      <c r="P62" s="102" t="s">
        <v>327</v>
      </c>
      <c r="Q62" s="102" t="s">
        <v>361</v>
      </c>
      <c r="R62" s="102" t="s">
        <v>199</v>
      </c>
      <c r="S62" s="102"/>
      <c r="T62" s="102"/>
    </row>
    <row r="63" spans="1:20">
      <c r="A63" s="102" t="s">
        <v>37</v>
      </c>
      <c r="B63" s="146"/>
      <c r="C63" s="133" t="str">
        <f>_xlfn.XLOOKUP(H63,RH!$D$2:$D$116,RH!$C$2:$C$116,"Terceiro")</f>
        <v>Terceiro</v>
      </c>
      <c r="D63" s="103" t="str">
        <f t="shared" si="2"/>
        <v>ADM ESPECIAL - ROTA/2</v>
      </c>
      <c r="E63" s="103" t="s">
        <v>235</v>
      </c>
      <c r="F63" s="103" t="s">
        <v>102</v>
      </c>
      <c r="G63" s="103" t="s">
        <v>362</v>
      </c>
      <c r="H63" s="14" t="s">
        <v>363</v>
      </c>
      <c r="I63" s="102" t="s">
        <v>86</v>
      </c>
      <c r="J63" s="102" t="s">
        <v>87</v>
      </c>
      <c r="K63" s="106">
        <v>45665</v>
      </c>
      <c r="L63" s="102" t="str">
        <f t="shared" si="1"/>
        <v>RUA RIO VERDE, 40, CONCEIÇÃO II, FEIRA DE SANTANA, BAHIA, BRASIL</v>
      </c>
      <c r="M63" s="105" t="s">
        <v>51</v>
      </c>
      <c r="N63" s="102">
        <v>40</v>
      </c>
      <c r="O63" s="102" t="s">
        <v>52</v>
      </c>
      <c r="P63" s="102" t="s">
        <v>45</v>
      </c>
      <c r="Q63" s="102" t="s">
        <v>51</v>
      </c>
      <c r="R63" s="102" t="s">
        <v>364</v>
      </c>
      <c r="S63" s="102"/>
      <c r="T63" s="102"/>
    </row>
    <row r="64" spans="1:20">
      <c r="A64" s="102" t="s">
        <v>37</v>
      </c>
      <c r="B64" s="146"/>
      <c r="C64" s="133" t="str">
        <f>_xlfn.XLOOKUP(H64,RH!$D$2:$D$116,RH!$C$2:$C$116,"Terceiro")</f>
        <v>Terceiro</v>
      </c>
      <c r="D64" s="103" t="str">
        <f t="shared" si="2"/>
        <v>ADM - ROTA/3</v>
      </c>
      <c r="E64" s="103" t="s">
        <v>13</v>
      </c>
      <c r="F64" s="103" t="s">
        <v>76</v>
      </c>
      <c r="G64" s="103" t="s">
        <v>365</v>
      </c>
      <c r="H64" s="14" t="s">
        <v>366</v>
      </c>
      <c r="I64" s="102" t="s">
        <v>86</v>
      </c>
      <c r="J64" s="102" t="s">
        <v>87</v>
      </c>
      <c r="K64" s="106">
        <v>45665</v>
      </c>
      <c r="L64" s="102" t="str">
        <f t="shared" si="1"/>
        <v>RUA E, 81, AVIARIO, FEIRA DE SANTANA, BAHIA, BRASIL</v>
      </c>
      <c r="M64" s="105" t="s">
        <v>367</v>
      </c>
      <c r="N64" s="103">
        <v>81</v>
      </c>
      <c r="O64" s="102" t="s">
        <v>73</v>
      </c>
      <c r="P64" s="102" t="s">
        <v>45</v>
      </c>
      <c r="Q64" s="105" t="s">
        <v>367</v>
      </c>
      <c r="R64" s="105" t="s">
        <v>368</v>
      </c>
      <c r="S64" s="102"/>
      <c r="T64" s="102"/>
    </row>
    <row r="65" spans="1:20" s="128" customFormat="1">
      <c r="A65" s="102" t="s">
        <v>37</v>
      </c>
      <c r="B65" s="146"/>
      <c r="C65" s="133">
        <f>_xlfn.XLOOKUP(H65,RH!$D$2:$D$116,RH!$C$2:$C$116,"Terceiro")</f>
        <v>80981334</v>
      </c>
      <c r="D65" s="103" t="str">
        <f t="shared" si="2"/>
        <v>1T - ROTA/6</v>
      </c>
      <c r="E65" s="103" t="s">
        <v>38</v>
      </c>
      <c r="F65" s="103" t="s">
        <v>48</v>
      </c>
      <c r="G65" s="103" t="s">
        <v>369</v>
      </c>
      <c r="H65" s="104" t="s">
        <v>370</v>
      </c>
      <c r="I65" s="102" t="s">
        <v>42</v>
      </c>
      <c r="J65" s="102" t="str">
        <f>_xlfn.XLOOKUP(H65,RH!$D$2:$D$116,RH!$K$2:$K$116,"Terceiro")</f>
        <v>BR1A294</v>
      </c>
      <c r="K65" s="106">
        <v>44823</v>
      </c>
      <c r="L65" s="102" t="str">
        <f t="shared" si="1"/>
        <v>RUA VITORINO FREIRE, 426, MANGABEIRA, FEIRA DE SANTANA, BAHIA, BRASIL</v>
      </c>
      <c r="M65" s="104" t="s">
        <v>105</v>
      </c>
      <c r="N65" s="104">
        <v>426</v>
      </c>
      <c r="O65" s="104" t="s">
        <v>106</v>
      </c>
      <c r="P65" s="102" t="s">
        <v>45</v>
      </c>
      <c r="Q65" s="102" t="s">
        <v>371</v>
      </c>
      <c r="R65" s="102" t="s">
        <v>371</v>
      </c>
      <c r="S65" s="102"/>
      <c r="T65" s="102"/>
    </row>
    <row r="66" spans="1:20">
      <c r="A66" s="102" t="s">
        <v>37</v>
      </c>
      <c r="B66" s="146"/>
      <c r="C66" s="133">
        <f>_xlfn.XLOOKUP(H66,RH!$D$2:$D$116,RH!$C$2:$C$116,"Terceiro")</f>
        <v>80157142</v>
      </c>
      <c r="D66" s="103" t="str">
        <f t="shared" ref="D66:D97" si="3">E66&amp;" - "&amp;F66</f>
        <v>1T - ROTA/10</v>
      </c>
      <c r="E66" s="103" t="s">
        <v>38</v>
      </c>
      <c r="F66" s="103" t="s">
        <v>146</v>
      </c>
      <c r="G66" s="103" t="s">
        <v>372</v>
      </c>
      <c r="H66" s="102" t="s">
        <v>373</v>
      </c>
      <c r="I66" s="102" t="s">
        <v>42</v>
      </c>
      <c r="J66" s="102" t="str">
        <f>_xlfn.XLOOKUP(H66,RH!$D$2:$D$116,RH!$K$2:$K$116,"Terceiro")</f>
        <v>BR2A008</v>
      </c>
      <c r="K66" s="106">
        <v>43437</v>
      </c>
      <c r="L66" s="102" t="str">
        <f t="shared" si="1"/>
        <v>RUA C, 345, CAMPO LIMPO, FEIRA DE SANTANA, BAHIA, BRASIL</v>
      </c>
      <c r="M66" s="105" t="s">
        <v>374</v>
      </c>
      <c r="N66" s="102">
        <v>345</v>
      </c>
      <c r="O66" s="102" t="s">
        <v>150</v>
      </c>
      <c r="P66" s="102" t="s">
        <v>45</v>
      </c>
      <c r="Q66" s="102" t="s">
        <v>375</v>
      </c>
      <c r="R66" s="105" t="s">
        <v>376</v>
      </c>
      <c r="S66" s="102"/>
      <c r="T66" s="102"/>
    </row>
    <row r="67" spans="1:20" s="128" customFormat="1">
      <c r="A67" s="102" t="s">
        <v>37</v>
      </c>
      <c r="B67" s="146"/>
      <c r="C67" s="133">
        <f>_xlfn.XLOOKUP(H67,RH!$D$2:$D$116,RH!$C$2:$C$116,"Terceiro")</f>
        <v>80014736</v>
      </c>
      <c r="D67" s="103" t="str">
        <f t="shared" si="3"/>
        <v>1T - ROTA/1</v>
      </c>
      <c r="E67" s="103" t="s">
        <v>38</v>
      </c>
      <c r="F67" s="103" t="s">
        <v>56</v>
      </c>
      <c r="G67" s="103" t="s">
        <v>377</v>
      </c>
      <c r="H67" s="103" t="s">
        <v>378</v>
      </c>
      <c r="I67" s="102" t="s">
        <v>42</v>
      </c>
      <c r="J67" s="102" t="str">
        <f>_xlfn.XLOOKUP(H67,RH!$D$2:$D$116,RH!$K$2:$K$116,"Terceiro")</f>
        <v>BR1A294</v>
      </c>
      <c r="K67" s="106">
        <v>42464</v>
      </c>
      <c r="L67" s="102" t="str">
        <f t="shared" ref="L67:L124" si="4">M67 &amp; ", " &amp; N67 &amp; ", " &amp; O67 &amp; ", " &amp; P67 &amp; ", BAHIA" &amp; ", BRASIL"</f>
        <v>RUA GENÉSIO MOREIRA, 283, HUMILDES, HUMILDES, BAHIA, BRASIL</v>
      </c>
      <c r="M67" s="102" t="s">
        <v>326</v>
      </c>
      <c r="N67" s="102">
        <v>283</v>
      </c>
      <c r="O67" s="102" t="s">
        <v>327</v>
      </c>
      <c r="P67" s="102" t="s">
        <v>327</v>
      </c>
      <c r="Q67" s="102" t="s">
        <v>379</v>
      </c>
      <c r="R67" s="102" t="s">
        <v>380</v>
      </c>
      <c r="S67" s="102"/>
      <c r="T67" s="102"/>
    </row>
    <row r="68" spans="1:20">
      <c r="A68" s="102" t="s">
        <v>37</v>
      </c>
      <c r="B68" s="146"/>
      <c r="C68" s="133" t="str">
        <f>_xlfn.XLOOKUP(H68,RH!$D$2:$D$116,RH!$C$2:$C$116,"Terceiro")</f>
        <v>Terceiro</v>
      </c>
      <c r="D68" s="103" t="str">
        <f t="shared" si="3"/>
        <v>1T - ROTA/8</v>
      </c>
      <c r="E68" s="103" t="s">
        <v>38</v>
      </c>
      <c r="F68" s="103" t="s">
        <v>69</v>
      </c>
      <c r="G68" s="103" t="s">
        <v>381</v>
      </c>
      <c r="H68" s="14" t="s">
        <v>382</v>
      </c>
      <c r="I68" s="102" t="s">
        <v>86</v>
      </c>
      <c r="J68" s="102" t="s">
        <v>87</v>
      </c>
      <c r="K68" s="106">
        <v>45665</v>
      </c>
      <c r="L68" s="102" t="str">
        <f t="shared" si="4"/>
        <v>RUA PROFª MARIA DA GLORIA DE JESUS, 61, GABRIELA, FEIRA DE SANTANA, BAHIA, BRASIL</v>
      </c>
      <c r="M68" s="102" t="s">
        <v>383</v>
      </c>
      <c r="N68" s="102">
        <v>61</v>
      </c>
      <c r="O68" s="102" t="s">
        <v>118</v>
      </c>
      <c r="P68" s="102" t="s">
        <v>45</v>
      </c>
      <c r="Q68" s="102" t="s">
        <v>384</v>
      </c>
      <c r="R68" s="102" t="s">
        <v>385</v>
      </c>
      <c r="S68" s="102"/>
      <c r="T68" s="102"/>
    </row>
    <row r="69" spans="1:20">
      <c r="A69" s="102" t="s">
        <v>37</v>
      </c>
      <c r="B69" s="146"/>
      <c r="C69" s="133">
        <f>_xlfn.XLOOKUP(H69,RH!$D$2:$D$116,RH!$C$2:$C$116,"Terceiro")</f>
        <v>81033488</v>
      </c>
      <c r="D69" s="103" t="str">
        <f t="shared" si="3"/>
        <v>1T - ROTA/8</v>
      </c>
      <c r="E69" s="103" t="s">
        <v>38</v>
      </c>
      <c r="F69" s="103" t="s">
        <v>69</v>
      </c>
      <c r="G69" s="103" t="s">
        <v>386</v>
      </c>
      <c r="H69" s="103" t="s">
        <v>387</v>
      </c>
      <c r="I69" s="102" t="s">
        <v>42</v>
      </c>
      <c r="J69" s="102" t="str">
        <f>_xlfn.XLOOKUP(H69,RH!$D$2:$D$116,RH!$K$2:$K$116,"Terceiro")</f>
        <v>BR1A312</v>
      </c>
      <c r="K69" s="106">
        <v>45019</v>
      </c>
      <c r="L69" s="102" t="str">
        <f t="shared" si="4"/>
        <v>RUA GENÉSIO SERAFIM DE LIMA, 17, GABRIELA, FEIRA DE SANTANA, BAHIA, BRASIL</v>
      </c>
      <c r="M69" s="102" t="s">
        <v>388</v>
      </c>
      <c r="N69" s="102">
        <v>17</v>
      </c>
      <c r="O69" s="102" t="s">
        <v>118</v>
      </c>
      <c r="P69" s="102" t="s">
        <v>45</v>
      </c>
      <c r="Q69" s="102" t="s">
        <v>389</v>
      </c>
      <c r="R69" s="102" t="s">
        <v>390</v>
      </c>
      <c r="S69" s="102"/>
      <c r="T69" s="102"/>
    </row>
    <row r="70" spans="1:20">
      <c r="A70" s="102" t="s">
        <v>37</v>
      </c>
      <c r="B70" s="146"/>
      <c r="C70" s="133">
        <f>_xlfn.XLOOKUP(H70,RH!$D$2:$D$116,RH!$C$2:$C$116,"Terceiro")</f>
        <v>80304771</v>
      </c>
      <c r="D70" s="103" t="str">
        <f t="shared" si="3"/>
        <v>ADM - ROTA/1</v>
      </c>
      <c r="E70" s="103" t="s">
        <v>13</v>
      </c>
      <c r="F70" s="103" t="s">
        <v>56</v>
      </c>
      <c r="G70" s="103" t="s">
        <v>391</v>
      </c>
      <c r="H70" s="102" t="s">
        <v>392</v>
      </c>
      <c r="I70" s="102" t="s">
        <v>42</v>
      </c>
      <c r="J70" s="102" t="str">
        <f>_xlfn.XLOOKUP(H70,RH!$D$2:$D$116,RH!$K$2:$K$116,"Terceiro")</f>
        <v>BR1A054</v>
      </c>
      <c r="K70" s="106">
        <v>44179</v>
      </c>
      <c r="L70" s="102" t="str">
        <f t="shared" si="4"/>
        <v>Avenida Antônio Ribeiro Marques, 1801, Registro, FEIRA DE SANTANA, BAHIA, BRASIL</v>
      </c>
      <c r="M70" s="105" t="s">
        <v>393</v>
      </c>
      <c r="N70" s="102">
        <v>1801</v>
      </c>
      <c r="O70" s="102" t="s">
        <v>394</v>
      </c>
      <c r="P70" s="102" t="s">
        <v>45</v>
      </c>
      <c r="Q70" s="102" t="s">
        <v>395</v>
      </c>
      <c r="R70" s="105" t="s">
        <v>395</v>
      </c>
      <c r="S70" s="102"/>
      <c r="T70" s="102"/>
    </row>
    <row r="71" spans="1:20">
      <c r="A71" s="102" t="s">
        <v>37</v>
      </c>
      <c r="B71" s="146"/>
      <c r="C71" s="133">
        <f>_xlfn.XLOOKUP(H71,RH!$D$2:$D$116,RH!$C$2:$C$116,"Terceiro")</f>
        <v>81004104</v>
      </c>
      <c r="D71" s="103" t="str">
        <f t="shared" si="3"/>
        <v>1T - ROTA/7</v>
      </c>
      <c r="E71" s="103" t="s">
        <v>38</v>
      </c>
      <c r="F71" s="103" t="s">
        <v>357</v>
      </c>
      <c r="G71" s="103" t="s">
        <v>396</v>
      </c>
      <c r="H71" s="102" t="s">
        <v>397</v>
      </c>
      <c r="I71" s="102" t="s">
        <v>42</v>
      </c>
      <c r="J71" s="102" t="str">
        <f>_xlfn.XLOOKUP(H71,RH!$D$2:$D$116,RH!$K$2:$K$116,"Terceiro")</f>
        <v>BR1A009</v>
      </c>
      <c r="K71" s="106">
        <v>44900</v>
      </c>
      <c r="L71" s="102" t="str">
        <f t="shared" si="4"/>
        <v>Avenida Domício Alves de Andrade, 39, AMELIA RODRIGUES, AMELIA RODRIGUES, BAHIA, BRASIL</v>
      </c>
      <c r="M71" s="102" t="s">
        <v>398</v>
      </c>
      <c r="N71" s="102">
        <v>39</v>
      </c>
      <c r="O71" s="102" t="s">
        <v>266</v>
      </c>
      <c r="P71" s="102" t="s">
        <v>266</v>
      </c>
      <c r="Q71" s="102" t="s">
        <v>399</v>
      </c>
      <c r="R71" s="102" t="s">
        <v>400</v>
      </c>
      <c r="S71" s="102"/>
      <c r="T71" s="102"/>
    </row>
    <row r="72" spans="1:20">
      <c r="A72" s="102" t="s">
        <v>37</v>
      </c>
      <c r="B72" s="146"/>
      <c r="C72" s="133">
        <f>_xlfn.XLOOKUP(H72,RH!$D$2:$D$116,RH!$C$2:$C$116,"Terceiro")</f>
        <v>81150129</v>
      </c>
      <c r="D72" s="102" t="str">
        <f t="shared" si="3"/>
        <v>1T - ROTA/6</v>
      </c>
      <c r="E72" s="102" t="s">
        <v>38</v>
      </c>
      <c r="F72" s="102" t="s">
        <v>48</v>
      </c>
      <c r="G72" s="14" t="s">
        <v>401</v>
      </c>
      <c r="H72" s="14" t="s">
        <v>402</v>
      </c>
      <c r="I72" s="102" t="s">
        <v>42</v>
      </c>
      <c r="J72" s="102" t="str">
        <f>_xlfn.XLOOKUP(H72,RH!$D$2:$D$116,RH!$K$2:$K$116,"Terceiro")</f>
        <v>BR1A312</v>
      </c>
      <c r="K72" s="106">
        <v>45446</v>
      </c>
      <c r="L72" s="102" t="str">
        <f t="shared" si="4"/>
        <v>RUA DO ROSARIO, 100, MANGABEIRA, FEIRA DE SANTANA, BAHIA, BRASIL</v>
      </c>
      <c r="M72" s="102" t="s">
        <v>332</v>
      </c>
      <c r="N72" s="102">
        <v>100</v>
      </c>
      <c r="O72" s="102" t="s">
        <v>106</v>
      </c>
      <c r="P72" s="102" t="s">
        <v>45</v>
      </c>
      <c r="Q72" s="102" t="s">
        <v>403</v>
      </c>
      <c r="R72" s="102" t="s">
        <v>334</v>
      </c>
      <c r="S72" s="102"/>
      <c r="T72" s="102"/>
    </row>
    <row r="73" spans="1:20">
      <c r="A73" s="102" t="s">
        <v>37</v>
      </c>
      <c r="B73" s="146"/>
      <c r="C73" s="133">
        <f>_xlfn.XLOOKUP(H73,RH!$D$2:$D$116,RH!$C$2:$C$116,"Terceiro")</f>
        <v>80931429</v>
      </c>
      <c r="D73" s="103" t="str">
        <f t="shared" si="3"/>
        <v>1T - ROTA/4</v>
      </c>
      <c r="E73" s="103" t="s">
        <v>38</v>
      </c>
      <c r="F73" s="103" t="s">
        <v>83</v>
      </c>
      <c r="G73" s="103" t="s">
        <v>404</v>
      </c>
      <c r="H73" s="14" t="s">
        <v>405</v>
      </c>
      <c r="I73" s="102" t="s">
        <v>42</v>
      </c>
      <c r="J73" s="102" t="str">
        <f>_xlfn.XLOOKUP(H73,RH!$D$2:$D$116,RH!$K$2:$K$116,"Terceiro")</f>
        <v>BR1A312</v>
      </c>
      <c r="K73" s="106">
        <v>44669</v>
      </c>
      <c r="L73" s="102" t="str">
        <f t="shared" si="4"/>
        <v>RUA DANTAS, 91, EUCALIPTO, FEIRA DE SANTANA, BAHIA, BRASIL</v>
      </c>
      <c r="M73" s="105" t="s">
        <v>406</v>
      </c>
      <c r="N73" s="102">
        <v>91</v>
      </c>
      <c r="O73" s="102" t="s">
        <v>407</v>
      </c>
      <c r="P73" s="102" t="s">
        <v>45</v>
      </c>
      <c r="Q73" s="102" t="s">
        <v>408</v>
      </c>
      <c r="R73" s="105" t="s">
        <v>409</v>
      </c>
      <c r="S73" s="102"/>
      <c r="T73" s="102"/>
    </row>
    <row r="74" spans="1:20">
      <c r="A74" s="102" t="s">
        <v>37</v>
      </c>
      <c r="B74" s="146"/>
      <c r="C74" s="133">
        <f>_xlfn.XLOOKUP(H74,RH!$D$2:$D$116,RH!$C$2:$C$116,"Terceiro")</f>
        <v>80187110</v>
      </c>
      <c r="D74" s="103" t="str">
        <f t="shared" si="3"/>
        <v>1T - ROTA/4</v>
      </c>
      <c r="E74" s="103" t="s">
        <v>38</v>
      </c>
      <c r="F74" s="103" t="s">
        <v>83</v>
      </c>
      <c r="G74" s="103" t="s">
        <v>410</v>
      </c>
      <c r="H74" s="102" t="s">
        <v>411</v>
      </c>
      <c r="I74" s="102" t="s">
        <v>42</v>
      </c>
      <c r="J74" s="102" t="str">
        <f>_xlfn.XLOOKUP(H74,RH!$D$2:$D$116,RH!$K$2:$K$116,"Terceiro")</f>
        <v>BR1A312</v>
      </c>
      <c r="K74" s="106">
        <v>43598</v>
      </c>
      <c r="L74" s="102" t="str">
        <f t="shared" si="4"/>
        <v>RUA PILAR DO SUL, 1124, BRASILIA, FEIRA DE SANTANA, BAHIA, BRASIL</v>
      </c>
      <c r="M74" s="102" t="s">
        <v>412</v>
      </c>
      <c r="N74" s="102">
        <v>1124</v>
      </c>
      <c r="O74" s="102" t="s">
        <v>413</v>
      </c>
      <c r="P74" s="102" t="s">
        <v>45</v>
      </c>
      <c r="Q74" s="102" t="s">
        <v>414</v>
      </c>
      <c r="R74" s="102" t="s">
        <v>415</v>
      </c>
      <c r="S74" s="102"/>
      <c r="T74" s="102"/>
    </row>
    <row r="75" spans="1:20">
      <c r="A75" s="102" t="s">
        <v>37</v>
      </c>
      <c r="B75" s="146"/>
      <c r="C75" s="133">
        <f>_xlfn.XLOOKUP(H75,RH!$D$2:$D$116,RH!$C$2:$C$116,"Terceiro")</f>
        <v>81223120</v>
      </c>
      <c r="D75" s="103" t="str">
        <f t="shared" si="3"/>
        <v>1T - ROTA/9</v>
      </c>
      <c r="E75" s="103" t="s">
        <v>38</v>
      </c>
      <c r="F75" s="103" t="s">
        <v>416</v>
      </c>
      <c r="G75" s="103" t="s">
        <v>417</v>
      </c>
      <c r="H75" s="14" t="s">
        <v>418</v>
      </c>
      <c r="I75" s="102" t="s">
        <v>42</v>
      </c>
      <c r="J75" s="102" t="str">
        <f>_xlfn.XLOOKUP(H75,RH!$D$2:$D$116,RH!$K$2:$K$116,"Terceiro")</f>
        <v>BR1A004</v>
      </c>
      <c r="K75" s="106">
        <v>45817</v>
      </c>
      <c r="L75" s="102" t="str">
        <f t="shared" si="4"/>
        <v>AV. CAZUMBA, N/A, SÃO GONÇALO DOS CAMPOS, SÃO GONÇALO DOS CAMPOS, BAHIA, BRASIL</v>
      </c>
      <c r="M75" s="105" t="s">
        <v>419</v>
      </c>
      <c r="N75" s="102" t="s">
        <v>60</v>
      </c>
      <c r="O75" s="105" t="s">
        <v>420</v>
      </c>
      <c r="P75" s="102" t="s">
        <v>420</v>
      </c>
      <c r="Q75" s="102" t="s">
        <v>421</v>
      </c>
      <c r="R75" s="105" t="s">
        <v>422</v>
      </c>
      <c r="S75" s="102"/>
      <c r="T75" s="102"/>
    </row>
    <row r="76" spans="1:20">
      <c r="A76" s="102" t="s">
        <v>37</v>
      </c>
      <c r="B76" s="146"/>
      <c r="C76" s="133">
        <f>_xlfn.XLOOKUP(H76,RH!$D$2:$D$116,RH!$C$2:$C$116,"Terceiro")</f>
        <v>40182248</v>
      </c>
      <c r="D76" s="103" t="str">
        <f t="shared" si="3"/>
        <v>2T - ROTA/1</v>
      </c>
      <c r="E76" s="103" t="s">
        <v>55</v>
      </c>
      <c r="F76" s="103" t="s">
        <v>56</v>
      </c>
      <c r="G76" s="103" t="s">
        <v>423</v>
      </c>
      <c r="H76" s="102" t="s">
        <v>424</v>
      </c>
      <c r="I76" s="102" t="s">
        <v>42</v>
      </c>
      <c r="J76" s="102" t="str">
        <f>_xlfn.XLOOKUP(H76,RH!$D$2:$D$116,RH!$K$2:$K$116,"Terceiro")</f>
        <v>BR2A032</v>
      </c>
      <c r="K76" s="106">
        <v>40861</v>
      </c>
      <c r="L76" s="102" t="str">
        <f t="shared" si="4"/>
        <v>RUA AMADO BAHIA, N/A, PANORAMA, FEIRA DE SANTANA, BAHIA, BRASIL</v>
      </c>
      <c r="M76" s="102" t="s">
        <v>59</v>
      </c>
      <c r="N76" s="102" t="s">
        <v>60</v>
      </c>
      <c r="O76" s="102" t="s">
        <v>44</v>
      </c>
      <c r="P76" s="102" t="s">
        <v>45</v>
      </c>
      <c r="Q76" s="102" t="s">
        <v>61</v>
      </c>
      <c r="R76" s="102" t="s">
        <v>62</v>
      </c>
      <c r="S76" s="102"/>
      <c r="T76" s="102"/>
    </row>
    <row r="77" spans="1:20">
      <c r="A77" s="102" t="s">
        <v>37</v>
      </c>
      <c r="B77" s="146"/>
      <c r="C77" s="133">
        <f>_xlfn.XLOOKUP(H77,RH!$D$2:$D$116,RH!$C$2:$C$116,"Terceiro")</f>
        <v>81051051</v>
      </c>
      <c r="D77" s="103" t="str">
        <f t="shared" si="3"/>
        <v>1T - ROTA/3</v>
      </c>
      <c r="E77" s="103" t="s">
        <v>38</v>
      </c>
      <c r="F77" s="103" t="s">
        <v>76</v>
      </c>
      <c r="G77" s="103" t="s">
        <v>425</v>
      </c>
      <c r="H77" s="103" t="s">
        <v>426</v>
      </c>
      <c r="I77" s="102" t="s">
        <v>42</v>
      </c>
      <c r="J77" s="102" t="str">
        <f>_xlfn.XLOOKUP(H77,RH!$D$2:$D$116,RH!$K$2:$K$116,"Terceiro")</f>
        <v>BR1A294</v>
      </c>
      <c r="K77" s="106">
        <v>45082</v>
      </c>
      <c r="L77" s="102" t="str">
        <f t="shared" si="4"/>
        <v>PRAÇA QUATRO, 1, CIDADE NOVA, FEIRA DE SANTANA, BAHIA, BRASIL</v>
      </c>
      <c r="M77" s="102" t="s">
        <v>427</v>
      </c>
      <c r="N77" s="102">
        <v>1</v>
      </c>
      <c r="O77" s="102" t="s">
        <v>260</v>
      </c>
      <c r="P77" s="102" t="s">
        <v>45</v>
      </c>
      <c r="Q77" s="102" t="s">
        <v>428</v>
      </c>
      <c r="R77" s="102" t="s">
        <v>429</v>
      </c>
      <c r="S77" s="102"/>
      <c r="T77" s="102"/>
    </row>
    <row r="78" spans="1:20">
      <c r="A78" s="102" t="s">
        <v>37</v>
      </c>
      <c r="B78" s="146"/>
      <c r="C78" s="133">
        <f>_xlfn.XLOOKUP(H78,RH!$D$2:$D$116,RH!$C$2:$C$116,"Terceiro")</f>
        <v>40201957</v>
      </c>
      <c r="D78" s="103" t="str">
        <f t="shared" si="3"/>
        <v>ADM - ROTA/6</v>
      </c>
      <c r="E78" s="103" t="s">
        <v>13</v>
      </c>
      <c r="F78" s="103" t="s">
        <v>48</v>
      </c>
      <c r="G78" s="103" t="s">
        <v>430</v>
      </c>
      <c r="H78" s="103" t="s">
        <v>431</v>
      </c>
      <c r="I78" s="102" t="s">
        <v>42</v>
      </c>
      <c r="J78" s="102" t="str">
        <f>_xlfn.XLOOKUP(H78,RH!$D$2:$D$116,RH!$K$2:$K$116,"Terceiro")</f>
        <v>BR1A013</v>
      </c>
      <c r="K78" s="106">
        <v>41166</v>
      </c>
      <c r="L78" s="102" t="str">
        <f t="shared" si="4"/>
        <v>RUA MATO GROSSO, 50, SÃO GONÇALO DOS CAMPOS, SÃO GONÇALO DOS CAMPOS, BAHIA, BRASIL</v>
      </c>
      <c r="M78" s="102" t="s">
        <v>432</v>
      </c>
      <c r="N78" s="102">
        <v>50</v>
      </c>
      <c r="O78" s="102" t="s">
        <v>420</v>
      </c>
      <c r="P78" s="102" t="s">
        <v>420</v>
      </c>
      <c r="Q78" s="102" t="s">
        <v>433</v>
      </c>
      <c r="R78" s="102" t="s">
        <v>434</v>
      </c>
      <c r="S78" s="102"/>
      <c r="T78" s="102"/>
    </row>
    <row r="79" spans="1:20">
      <c r="A79" s="102" t="s">
        <v>37</v>
      </c>
      <c r="B79" s="146"/>
      <c r="C79" s="133">
        <f>_xlfn.XLOOKUP(H79,RH!$D$2:$D$116,RH!$C$2:$C$116,"Terceiro")</f>
        <v>80851526</v>
      </c>
      <c r="D79" s="103" t="str">
        <f t="shared" si="3"/>
        <v>2T - ROTA/2</v>
      </c>
      <c r="E79" s="103" t="s">
        <v>55</v>
      </c>
      <c r="F79" s="103" t="s">
        <v>102</v>
      </c>
      <c r="G79" s="103" t="s">
        <v>435</v>
      </c>
      <c r="H79" s="102" t="s">
        <v>436</v>
      </c>
      <c r="I79" s="102" t="s">
        <v>42</v>
      </c>
      <c r="J79" s="102" t="str">
        <f>_xlfn.XLOOKUP(H79,RH!$D$2:$D$116,RH!$K$2:$K$116,"Terceiro")</f>
        <v>BR1A312</v>
      </c>
      <c r="K79" s="106">
        <v>44382</v>
      </c>
      <c r="L79" s="102" t="str">
        <f t="shared" si="4"/>
        <v>RUA VITORINO FREIRE, 822, JARDIM EUROPA, FEIRA DE SANTANA, BAHIA, BRASIL</v>
      </c>
      <c r="M79" s="105" t="s">
        <v>105</v>
      </c>
      <c r="N79" s="102">
        <v>822</v>
      </c>
      <c r="O79" s="102" t="s">
        <v>437</v>
      </c>
      <c r="P79" s="102" t="s">
        <v>45</v>
      </c>
      <c r="Q79" s="105" t="s">
        <v>107</v>
      </c>
      <c r="R79" s="102" t="s">
        <v>438</v>
      </c>
      <c r="S79" s="102"/>
      <c r="T79" s="102"/>
    </row>
    <row r="80" spans="1:20">
      <c r="A80" s="102" t="s">
        <v>37</v>
      </c>
      <c r="B80" s="146"/>
      <c r="C80" s="133">
        <f>_xlfn.XLOOKUP(H80,RH!$D$2:$D$116,RH!$C$2:$C$116,"Terceiro")</f>
        <v>40182881</v>
      </c>
      <c r="D80" s="103" t="str">
        <f t="shared" si="3"/>
        <v>1T - ROTA/3</v>
      </c>
      <c r="E80" s="103" t="s">
        <v>38</v>
      </c>
      <c r="F80" s="103" t="s">
        <v>76</v>
      </c>
      <c r="G80" s="103" t="s">
        <v>439</v>
      </c>
      <c r="H80" s="14" t="s">
        <v>440</v>
      </c>
      <c r="I80" s="102" t="s">
        <v>42</v>
      </c>
      <c r="J80" s="102" t="str">
        <f>_xlfn.XLOOKUP(H80,RH!$D$2:$D$116,RH!$K$2:$K$116,"Terceiro")</f>
        <v>BR1A012</v>
      </c>
      <c r="K80" s="106">
        <v>40861</v>
      </c>
      <c r="L80" s="102" t="str">
        <f t="shared" si="4"/>
        <v>EM FRENTE AO MOTEL SCALA, N/A, CASEB, FEIRA DE SANTANA, BAHIA, BRASIL</v>
      </c>
      <c r="M80" s="102" t="s">
        <v>441</v>
      </c>
      <c r="N80" s="102" t="s">
        <v>60</v>
      </c>
      <c r="O80" s="102" t="s">
        <v>112</v>
      </c>
      <c r="P80" s="102" t="s">
        <v>45</v>
      </c>
      <c r="Q80" s="102" t="s">
        <v>441</v>
      </c>
      <c r="R80" s="102" t="s">
        <v>441</v>
      </c>
      <c r="S80" s="102"/>
      <c r="T80" s="102"/>
    </row>
    <row r="81" spans="1:20">
      <c r="A81" s="102" t="s">
        <v>37</v>
      </c>
      <c r="B81" s="146"/>
      <c r="C81" s="133">
        <f>_xlfn.XLOOKUP(H81,RH!$D$2:$D$116,RH!$C$2:$C$116,"Terceiro")</f>
        <v>80873151</v>
      </c>
      <c r="D81" s="103" t="str">
        <f t="shared" si="3"/>
        <v>1T - ROTA/1</v>
      </c>
      <c r="E81" s="103" t="s">
        <v>38</v>
      </c>
      <c r="F81" s="103" t="s">
        <v>56</v>
      </c>
      <c r="G81" s="103" t="s">
        <v>442</v>
      </c>
      <c r="H81" s="103" t="s">
        <v>443</v>
      </c>
      <c r="I81" s="102" t="s">
        <v>42</v>
      </c>
      <c r="J81" s="102" t="str">
        <f>_xlfn.XLOOKUP(H81,RH!$D$2:$D$116,RH!$K$2:$K$116,"Terceiro")</f>
        <v>BR1A010</v>
      </c>
      <c r="K81" s="106">
        <v>44459</v>
      </c>
      <c r="L81" s="102" t="str">
        <f t="shared" si="4"/>
        <v>RUA PRINCIPAL DO LIMOEIRO, 15-A, LIMOEIRO, LIMOEIRO, BAHIA, BRASIL</v>
      </c>
      <c r="M81" s="102" t="s">
        <v>444</v>
      </c>
      <c r="N81" s="102" t="s">
        <v>445</v>
      </c>
      <c r="O81" s="102" t="s">
        <v>172</v>
      </c>
      <c r="P81" s="102" t="s">
        <v>172</v>
      </c>
      <c r="Q81" s="102" t="s">
        <v>446</v>
      </c>
      <c r="R81" s="102" t="s">
        <v>447</v>
      </c>
      <c r="S81" s="102"/>
      <c r="T81" s="102"/>
    </row>
    <row r="82" spans="1:20">
      <c r="A82" s="102" t="s">
        <v>37</v>
      </c>
      <c r="B82" s="146"/>
      <c r="C82" s="133" t="str">
        <f>_xlfn.XLOOKUP(H82,RH!$D$2:$D$116,RH!$C$2:$C$116,"Terceiro")</f>
        <v>Terceiro</v>
      </c>
      <c r="D82" s="103" t="str">
        <f t="shared" si="3"/>
        <v>2T - ROTA/5</v>
      </c>
      <c r="E82" s="103" t="s">
        <v>55</v>
      </c>
      <c r="F82" s="103" t="s">
        <v>39</v>
      </c>
      <c r="G82" s="103" t="s">
        <v>448</v>
      </c>
      <c r="H82" s="16" t="s">
        <v>449</v>
      </c>
      <c r="I82" s="102" t="s">
        <v>86</v>
      </c>
      <c r="J82" s="102" t="s">
        <v>87</v>
      </c>
      <c r="K82" s="106">
        <v>45665</v>
      </c>
      <c r="L82" s="102" t="str">
        <f t="shared" si="4"/>
        <v>RUA A, RUA ALEXANDRE BAHIA, N/A, GABRIELA, FEIRA DE SANTANA, BAHIA, BRASIL</v>
      </c>
      <c r="M82" s="103" t="s">
        <v>450</v>
      </c>
      <c r="N82" s="102" t="s">
        <v>60</v>
      </c>
      <c r="O82" s="103" t="s">
        <v>118</v>
      </c>
      <c r="P82" s="102" t="s">
        <v>45</v>
      </c>
      <c r="Q82" s="103" t="s">
        <v>451</v>
      </c>
      <c r="R82" s="103" t="s">
        <v>452</v>
      </c>
      <c r="S82" s="102"/>
      <c r="T82" s="102"/>
    </row>
    <row r="83" spans="1:20">
      <c r="A83" s="102" t="s">
        <v>37</v>
      </c>
      <c r="B83" s="146"/>
      <c r="C83" s="133">
        <f>_xlfn.XLOOKUP(H83,RH!$D$2:$D$116,RH!$C$2:$C$116,"Terceiro")</f>
        <v>81054406</v>
      </c>
      <c r="D83" s="103" t="str">
        <f t="shared" si="3"/>
        <v>2T - ROTA/2</v>
      </c>
      <c r="E83" s="103" t="s">
        <v>55</v>
      </c>
      <c r="F83" s="103" t="s">
        <v>102</v>
      </c>
      <c r="G83" s="103" t="s">
        <v>453</v>
      </c>
      <c r="H83" s="102" t="s">
        <v>454</v>
      </c>
      <c r="I83" s="102" t="s">
        <v>42</v>
      </c>
      <c r="J83" s="102" t="str">
        <f>_xlfn.XLOOKUP(H83,RH!$D$2:$D$116,RH!$K$2:$K$116,"Terceiro")</f>
        <v>BR2A008</v>
      </c>
      <c r="K83" s="106">
        <v>45096</v>
      </c>
      <c r="L83" s="102" t="str">
        <f t="shared" si="4"/>
        <v>RUA CHARLETON, 339, SANTO ANTÔNIO DOS PRAZERES, FEIRA DE SANTANA, BAHIA, BRASIL</v>
      </c>
      <c r="M83" s="102" t="s">
        <v>455</v>
      </c>
      <c r="N83" s="102">
        <v>339</v>
      </c>
      <c r="O83" s="102" t="s">
        <v>156</v>
      </c>
      <c r="P83" s="102" t="s">
        <v>45</v>
      </c>
      <c r="Q83" s="102" t="s">
        <v>456</v>
      </c>
      <c r="R83" s="102" t="s">
        <v>457</v>
      </c>
      <c r="S83" s="102"/>
      <c r="T83" s="102"/>
    </row>
    <row r="84" spans="1:20">
      <c r="A84" s="102" t="s">
        <v>37</v>
      </c>
      <c r="B84" s="146"/>
      <c r="C84" s="133">
        <f>_xlfn.XLOOKUP(H84,RH!$D$2:$D$116,RH!$C$2:$C$116,"Terceiro")</f>
        <v>81033486</v>
      </c>
      <c r="D84" s="103" t="str">
        <f t="shared" si="3"/>
        <v>3T - ROTA/1</v>
      </c>
      <c r="E84" s="103" t="s">
        <v>63</v>
      </c>
      <c r="F84" s="103" t="s">
        <v>56</v>
      </c>
      <c r="G84" s="103" t="s">
        <v>458</v>
      </c>
      <c r="H84" s="16" t="s">
        <v>459</v>
      </c>
      <c r="I84" s="102" t="s">
        <v>42</v>
      </c>
      <c r="J84" s="102" t="str">
        <f>_xlfn.XLOOKUP(H84,RH!$D$2:$D$116,RH!$K$2:$K$116,"Terceiro")</f>
        <v>BR1A294</v>
      </c>
      <c r="K84" s="106">
        <v>45019</v>
      </c>
      <c r="L84" s="102" t="str">
        <f t="shared" si="4"/>
        <v>Rua Nova Iguaçu, 114, CAMPO LIMPO, FEIRA DE SANTANA, BAHIA, BRASIL</v>
      </c>
      <c r="M84" s="103" t="s">
        <v>460</v>
      </c>
      <c r="N84" s="103">
        <v>114</v>
      </c>
      <c r="O84" s="103" t="s">
        <v>150</v>
      </c>
      <c r="P84" s="102" t="s">
        <v>45</v>
      </c>
      <c r="Q84" s="103" t="s">
        <v>461</v>
      </c>
      <c r="R84" s="103" t="s">
        <v>462</v>
      </c>
      <c r="S84" s="102"/>
      <c r="T84" s="102"/>
    </row>
    <row r="85" spans="1:20">
      <c r="A85" s="102" t="s">
        <v>37</v>
      </c>
      <c r="B85" s="146"/>
      <c r="C85" s="133">
        <f>_xlfn.XLOOKUP(H85,RH!$D$2:$D$116,RH!$C$2:$C$116,"Terceiro")</f>
        <v>80851934</v>
      </c>
      <c r="D85" s="103" t="str">
        <f t="shared" si="3"/>
        <v>1T - ROTA/3</v>
      </c>
      <c r="E85" s="103" t="s">
        <v>38</v>
      </c>
      <c r="F85" s="103" t="s">
        <v>76</v>
      </c>
      <c r="G85" s="103" t="s">
        <v>463</v>
      </c>
      <c r="H85" s="102" t="s">
        <v>464</v>
      </c>
      <c r="I85" s="102" t="s">
        <v>42</v>
      </c>
      <c r="J85" s="102" t="str">
        <f>_xlfn.XLOOKUP(H85,RH!$D$2:$D$116,RH!$K$2:$K$116,"Terceiro")</f>
        <v>BR1A009</v>
      </c>
      <c r="K85" s="106">
        <v>44382</v>
      </c>
      <c r="L85" s="102" t="str">
        <f t="shared" si="4"/>
        <v>RUA INTENDENTE ABDON, 380, QUEIMADINHA, FEIRA DE SANTANA, BAHIA, BRASIL</v>
      </c>
      <c r="M85" s="105" t="s">
        <v>465</v>
      </c>
      <c r="N85" s="102">
        <v>380</v>
      </c>
      <c r="O85" s="102" t="s">
        <v>162</v>
      </c>
      <c r="P85" s="102" t="s">
        <v>45</v>
      </c>
      <c r="Q85" s="105" t="s">
        <v>466</v>
      </c>
      <c r="R85" s="105" t="s">
        <v>467</v>
      </c>
      <c r="S85" s="102"/>
      <c r="T85" s="102"/>
    </row>
    <row r="86" spans="1:20">
      <c r="A86" s="102" t="s">
        <v>37</v>
      </c>
      <c r="B86" s="146"/>
      <c r="C86" s="133">
        <f>_xlfn.XLOOKUP(H86,RH!$D$2:$D$116,RH!$C$2:$C$116,"Terceiro")</f>
        <v>40201681</v>
      </c>
      <c r="D86" s="103" t="str">
        <f t="shared" si="3"/>
        <v>3T - ROTA/1</v>
      </c>
      <c r="E86" s="103" t="s">
        <v>63</v>
      </c>
      <c r="F86" s="103" t="s">
        <v>56</v>
      </c>
      <c r="G86" s="16" t="s">
        <v>468</v>
      </c>
      <c r="H86" s="16" t="s">
        <v>469</v>
      </c>
      <c r="I86" s="102" t="s">
        <v>42</v>
      </c>
      <c r="J86" s="102" t="str">
        <f>_xlfn.XLOOKUP(H86,RH!$D$2:$D$116,RH!$K$2:$K$116,"Terceiro")</f>
        <v>BR1A312</v>
      </c>
      <c r="K86" s="106">
        <v>41157</v>
      </c>
      <c r="L86" s="102" t="str">
        <f t="shared" si="4"/>
        <v>Rua Santa Luzia, 19, SÃO JOÃO, FEIRA DE SANTANA, BAHIA, BRASIL</v>
      </c>
      <c r="M86" s="103" t="s">
        <v>470</v>
      </c>
      <c r="N86" s="103">
        <v>19</v>
      </c>
      <c r="O86" s="103" t="s">
        <v>471</v>
      </c>
      <c r="P86" s="102" t="s">
        <v>45</v>
      </c>
      <c r="Q86" s="103" t="s">
        <v>472</v>
      </c>
      <c r="R86" s="103" t="s">
        <v>473</v>
      </c>
      <c r="S86" s="102"/>
      <c r="T86" s="102"/>
    </row>
    <row r="87" spans="1:20">
      <c r="A87" s="102" t="s">
        <v>37</v>
      </c>
      <c r="B87" s="146"/>
      <c r="C87" s="133" t="str">
        <f>_xlfn.XLOOKUP(H87,RH!$D$2:$D$116,RH!$C$2:$C$116,"Terceiro")</f>
        <v>Terceiro</v>
      </c>
      <c r="D87" s="103" t="str">
        <f t="shared" si="3"/>
        <v>1T - ROTA/4</v>
      </c>
      <c r="E87" s="103" t="s">
        <v>38</v>
      </c>
      <c r="F87" s="103" t="s">
        <v>83</v>
      </c>
      <c r="G87" s="103" t="s">
        <v>474</v>
      </c>
      <c r="H87" s="102" t="s">
        <v>475</v>
      </c>
      <c r="I87" s="102" t="s">
        <v>86</v>
      </c>
      <c r="J87" s="102" t="s">
        <v>87</v>
      </c>
      <c r="K87" s="106">
        <v>45665</v>
      </c>
      <c r="L87" s="102" t="str">
        <f t="shared" si="4"/>
        <v>AV. SENADOR QUINTINO, 792, OLHOS D'ÁGUA, FEIRA DE SANTANA, BAHIA, BRASIL</v>
      </c>
      <c r="M87" s="102" t="s">
        <v>476</v>
      </c>
      <c r="N87" s="102">
        <v>792</v>
      </c>
      <c r="O87" s="102" t="s">
        <v>477</v>
      </c>
      <c r="P87" s="102" t="s">
        <v>45</v>
      </c>
      <c r="Q87" s="102" t="s">
        <v>478</v>
      </c>
      <c r="R87" s="102" t="s">
        <v>478</v>
      </c>
      <c r="S87" s="102"/>
      <c r="T87" s="102"/>
    </row>
    <row r="88" spans="1:20">
      <c r="A88" s="102" t="s">
        <v>37</v>
      </c>
      <c r="B88" s="146"/>
      <c r="C88" s="133">
        <f>_xlfn.XLOOKUP(H88,RH!$D$2:$D$116,RH!$C$2:$C$116,"Terceiro")</f>
        <v>81041744</v>
      </c>
      <c r="D88" s="103" t="str">
        <f t="shared" si="3"/>
        <v>1T - ROTA/8</v>
      </c>
      <c r="E88" s="103" t="s">
        <v>38</v>
      </c>
      <c r="F88" s="103" t="s">
        <v>69</v>
      </c>
      <c r="G88" s="103" t="s">
        <v>479</v>
      </c>
      <c r="H88" s="102" t="s">
        <v>480</v>
      </c>
      <c r="I88" s="102" t="s">
        <v>42</v>
      </c>
      <c r="J88" s="102" t="str">
        <f>_xlfn.XLOOKUP(H88,RH!$D$2:$D$116,RH!$K$2:$K$116,"Terceiro")</f>
        <v>BR1A002</v>
      </c>
      <c r="K88" s="106">
        <v>45048</v>
      </c>
      <c r="L88" s="102" t="str">
        <f t="shared" si="4"/>
        <v>LOTEAMENTO AMARALINA - CAMINHO 10, CASA 25, GABRIELA, FEIRA DE SANTANA, BAHIA, BRASIL</v>
      </c>
      <c r="M88" s="102" t="s">
        <v>481</v>
      </c>
      <c r="N88" s="102" t="s">
        <v>482</v>
      </c>
      <c r="O88" s="102" t="s">
        <v>118</v>
      </c>
      <c r="P88" s="102" t="s">
        <v>45</v>
      </c>
      <c r="Q88" s="102" t="s">
        <v>483</v>
      </c>
      <c r="R88" s="102" t="s">
        <v>484</v>
      </c>
      <c r="S88" s="102"/>
      <c r="T88" s="102"/>
    </row>
    <row r="89" spans="1:20">
      <c r="A89" s="102" t="s">
        <v>37</v>
      </c>
      <c r="B89" s="146"/>
      <c r="C89" s="133">
        <f>_xlfn.XLOOKUP(H89,RH!$D$2:$D$116,RH!$C$2:$C$116,"Terceiro")</f>
        <v>81168348</v>
      </c>
      <c r="D89" s="103" t="str">
        <f t="shared" si="3"/>
        <v>1T - ROTA/3</v>
      </c>
      <c r="E89" s="103" t="s">
        <v>38</v>
      </c>
      <c r="F89" s="103" t="s">
        <v>76</v>
      </c>
      <c r="G89" s="103" t="s">
        <v>485</v>
      </c>
      <c r="H89" s="14" t="s">
        <v>486</v>
      </c>
      <c r="I89" s="102" t="s">
        <v>42</v>
      </c>
      <c r="J89" s="102" t="str">
        <f>_xlfn.XLOOKUP(H89,RH!$D$2:$D$116,RH!$K$2:$K$116,"Terceiro")</f>
        <v>BR1A010</v>
      </c>
      <c r="K89" s="106">
        <v>45509</v>
      </c>
      <c r="L89" s="102" t="str">
        <f t="shared" si="4"/>
        <v>RUA TOCANTINS, 423, SANTA MÔNICA, FEIRA DE SANTANA, BAHIA, BRASIL</v>
      </c>
      <c r="M89" s="105" t="s">
        <v>487</v>
      </c>
      <c r="N89" s="102">
        <v>423</v>
      </c>
      <c r="O89" s="103" t="s">
        <v>137</v>
      </c>
      <c r="P89" s="102" t="s">
        <v>45</v>
      </c>
      <c r="Q89" s="105" t="s">
        <v>488</v>
      </c>
      <c r="R89" s="105" t="s">
        <v>488</v>
      </c>
      <c r="S89" s="102"/>
      <c r="T89" s="102"/>
    </row>
    <row r="90" spans="1:20">
      <c r="A90" s="102" t="s">
        <v>37</v>
      </c>
      <c r="B90" s="146"/>
      <c r="C90" s="133">
        <f>_xlfn.XLOOKUP(H90,RH!$D$2:$D$116,RH!$C$2:$C$116,"Terceiro")</f>
        <v>81150509</v>
      </c>
      <c r="D90" s="103" t="str">
        <f t="shared" si="3"/>
        <v>3T - ROTA/1</v>
      </c>
      <c r="E90" s="103" t="s">
        <v>63</v>
      </c>
      <c r="F90" s="103" t="s">
        <v>56</v>
      </c>
      <c r="G90" s="103" t="s">
        <v>489</v>
      </c>
      <c r="H90" s="16" t="s">
        <v>490</v>
      </c>
      <c r="I90" s="102" t="s">
        <v>42</v>
      </c>
      <c r="J90" s="102" t="str">
        <f>_xlfn.XLOOKUP(H90,RH!$D$2:$D$116,RH!$K$2:$K$116,"Terceiro")</f>
        <v>BR1A312</v>
      </c>
      <c r="K90" s="106">
        <v>45446</v>
      </c>
      <c r="L90" s="102" t="str">
        <f t="shared" si="4"/>
        <v>Rua Ibicui, 179, MANGABEIRA, FEIRA DE SANTANA, BAHIA, BRASIL</v>
      </c>
      <c r="M90" s="103" t="s">
        <v>491</v>
      </c>
      <c r="N90" s="103">
        <v>179</v>
      </c>
      <c r="O90" s="103" t="s">
        <v>106</v>
      </c>
      <c r="P90" s="102" t="s">
        <v>45</v>
      </c>
      <c r="Q90" s="103" t="s">
        <v>492</v>
      </c>
      <c r="S90" s="102"/>
      <c r="T90" s="102"/>
    </row>
    <row r="91" spans="1:20">
      <c r="A91" s="102" t="s">
        <v>37</v>
      </c>
      <c r="B91" s="146"/>
      <c r="C91" s="133">
        <f>_xlfn.XLOOKUP(H91,RH!$D$2:$D$116,RH!$C$2:$C$116,"Terceiro")</f>
        <v>81050388</v>
      </c>
      <c r="D91" s="103" t="str">
        <f t="shared" si="3"/>
        <v>2T - ROTA/5</v>
      </c>
      <c r="E91" s="103" t="s">
        <v>55</v>
      </c>
      <c r="F91" s="103" t="s">
        <v>39</v>
      </c>
      <c r="G91" s="103" t="s">
        <v>493</v>
      </c>
      <c r="H91" s="16" t="s">
        <v>494</v>
      </c>
      <c r="I91" s="102" t="s">
        <v>42</v>
      </c>
      <c r="J91" s="102" t="str">
        <f>_xlfn.XLOOKUP(H91,RH!$D$2:$D$116,RH!$K$2:$K$116,"Terceiro")</f>
        <v>BR1A294</v>
      </c>
      <c r="K91" s="106">
        <v>45082</v>
      </c>
      <c r="L91" s="102" t="str">
        <f t="shared" si="4"/>
        <v>RUA CONSTITUINTE, 23, CAMPO LIMPO, FEIRA DE SANTANA, BAHIA, BRASIL</v>
      </c>
      <c r="M91" s="103" t="s">
        <v>495</v>
      </c>
      <c r="N91" s="103">
        <v>23</v>
      </c>
      <c r="O91" s="103" t="s">
        <v>150</v>
      </c>
      <c r="P91" s="102" t="s">
        <v>45</v>
      </c>
      <c r="Q91" s="103" t="s">
        <v>496</v>
      </c>
      <c r="R91" s="103" t="s">
        <v>497</v>
      </c>
      <c r="S91" s="102"/>
      <c r="T91" s="102"/>
    </row>
    <row r="92" spans="1:20">
      <c r="A92" s="102" t="s">
        <v>37</v>
      </c>
      <c r="B92" s="146"/>
      <c r="C92" s="133">
        <f>_xlfn.XLOOKUP(H92,RH!$D$2:$D$116,RH!$C$2:$C$116,"Terceiro")</f>
        <v>40286011</v>
      </c>
      <c r="D92" s="103" t="str">
        <f t="shared" si="3"/>
        <v>1T - ROTA/7</v>
      </c>
      <c r="E92" s="103" t="s">
        <v>38</v>
      </c>
      <c r="F92" s="103" t="s">
        <v>357</v>
      </c>
      <c r="G92" s="103" t="s">
        <v>498</v>
      </c>
      <c r="H92" s="14" t="s">
        <v>499</v>
      </c>
      <c r="I92" s="102" t="s">
        <v>42</v>
      </c>
      <c r="J92" s="102" t="str">
        <f>_xlfn.XLOOKUP(H92,RH!$D$2:$D$116,RH!$K$2:$K$116,"Terceiro")</f>
        <v>BR1A002</v>
      </c>
      <c r="K92" s="106">
        <v>41932</v>
      </c>
      <c r="L92" s="102" t="str">
        <f t="shared" si="4"/>
        <v>AO LADO DA IGREJA ASSEMBLEIA DE DEUS - R. JAILDO CUNHA DE JESUS, 69, CONCEIÇÃO DO JACUIPE, FEIRA DE SANTANA, BAHIA, BRASIL</v>
      </c>
      <c r="M92" s="102" t="s">
        <v>500</v>
      </c>
      <c r="N92" s="102">
        <v>69</v>
      </c>
      <c r="O92" s="102" t="s">
        <v>501</v>
      </c>
      <c r="P92" s="102" t="s">
        <v>45</v>
      </c>
      <c r="Q92" s="102" t="s">
        <v>502</v>
      </c>
      <c r="R92" s="102" t="s">
        <v>503</v>
      </c>
      <c r="S92" s="102"/>
      <c r="T92" s="102"/>
    </row>
    <row r="93" spans="1:20">
      <c r="A93" s="102" t="s">
        <v>37</v>
      </c>
      <c r="B93" s="146"/>
      <c r="C93" s="133">
        <f>_xlfn.XLOOKUP(H93,RH!$D$2:$D$116,RH!$C$2:$C$116,"Terceiro")</f>
        <v>80310115</v>
      </c>
      <c r="D93" s="103" t="str">
        <f t="shared" si="3"/>
        <v>1T - ROTA/3</v>
      </c>
      <c r="E93" s="103" t="s">
        <v>38</v>
      </c>
      <c r="F93" s="103" t="s">
        <v>76</v>
      </c>
      <c r="G93" s="103" t="s">
        <v>504</v>
      </c>
      <c r="H93" s="102" t="s">
        <v>505</v>
      </c>
      <c r="I93" s="102" t="s">
        <v>42</v>
      </c>
      <c r="J93" s="102" t="str">
        <f>_xlfn.XLOOKUP(H93,RH!$D$2:$D$116,RH!$K$2:$K$116,"Terceiro")</f>
        <v>BR1A010</v>
      </c>
      <c r="K93" s="106">
        <v>44214</v>
      </c>
      <c r="L93" s="102" t="str">
        <f t="shared" si="4"/>
        <v>RUA TUIUCA, N/A, JOÃO PAULO, FEIRA DE SANTANA, BAHIA, BRASIL</v>
      </c>
      <c r="M93" s="102" t="s">
        <v>79</v>
      </c>
      <c r="N93" s="102" t="s">
        <v>60</v>
      </c>
      <c r="O93" s="102" t="s">
        <v>80</v>
      </c>
      <c r="P93" s="102" t="s">
        <v>45</v>
      </c>
      <c r="Q93" s="102" t="s">
        <v>506</v>
      </c>
      <c r="R93" s="102" t="s">
        <v>507</v>
      </c>
      <c r="S93" s="102"/>
      <c r="T93" s="102"/>
    </row>
    <row r="94" spans="1:20">
      <c r="A94" s="102" t="s">
        <v>37</v>
      </c>
      <c r="B94" s="146"/>
      <c r="C94" s="133">
        <f>_xlfn.XLOOKUP(H94,RH!$D$2:$D$116,RH!$C$2:$C$116,"Terceiro")</f>
        <v>40185829</v>
      </c>
      <c r="D94" s="103" t="str">
        <f t="shared" si="3"/>
        <v>ADM - ROTA/4</v>
      </c>
      <c r="E94" s="103" t="s">
        <v>13</v>
      </c>
      <c r="F94" s="103" t="s">
        <v>83</v>
      </c>
      <c r="G94" s="103" t="s">
        <v>508</v>
      </c>
      <c r="H94" s="14" t="s">
        <v>509</v>
      </c>
      <c r="I94" s="102" t="s">
        <v>42</v>
      </c>
      <c r="J94" s="102" t="str">
        <f>_xlfn.XLOOKUP(H94,RH!$D$2:$D$116,RH!$K$2:$K$116,"Terceiro")</f>
        <v>BR2A032</v>
      </c>
      <c r="K94" s="106">
        <v>40948</v>
      </c>
      <c r="L94" s="102" t="str">
        <f t="shared" si="4"/>
        <v>RUA VASCO FILHO, 590, SERRARIA BRASIL, FEIRA DE SANTANA, BAHIA, BRASIL</v>
      </c>
      <c r="M94" s="102" t="s">
        <v>510</v>
      </c>
      <c r="N94" s="102">
        <v>590</v>
      </c>
      <c r="O94" s="102" t="s">
        <v>100</v>
      </c>
      <c r="P94" s="102" t="s">
        <v>45</v>
      </c>
      <c r="Q94" s="102" t="s">
        <v>510</v>
      </c>
      <c r="R94" s="102" t="s">
        <v>511</v>
      </c>
      <c r="S94" s="102"/>
      <c r="T94" s="102"/>
    </row>
    <row r="95" spans="1:20">
      <c r="A95" s="102" t="s">
        <v>37</v>
      </c>
      <c r="B95" s="146"/>
      <c r="C95" s="133">
        <f>_xlfn.XLOOKUP(H95,RH!$D$2:$D$116,RH!$C$2:$C$116,"Terceiro")</f>
        <v>40280015</v>
      </c>
      <c r="D95" s="103" t="str">
        <f t="shared" si="3"/>
        <v>1T - ROTA/6</v>
      </c>
      <c r="E95" s="103" t="s">
        <v>38</v>
      </c>
      <c r="F95" s="103" t="s">
        <v>48</v>
      </c>
      <c r="G95" s="103" t="s">
        <v>512</v>
      </c>
      <c r="H95" s="102" t="s">
        <v>513</v>
      </c>
      <c r="I95" s="102" t="s">
        <v>42</v>
      </c>
      <c r="J95" s="102" t="str">
        <f>_xlfn.XLOOKUP(H95,RH!$D$2:$D$116,RH!$K$2:$K$116,"Terceiro")</f>
        <v>BR2A032</v>
      </c>
      <c r="K95" s="106">
        <v>41869</v>
      </c>
      <c r="L95" s="102" t="str">
        <f t="shared" si="4"/>
        <v>COND. VIVACE PAPAGAIO, N/A, PAPAGAIO, FEIRA DE SANTANA, BAHIA, BRASIL</v>
      </c>
      <c r="M95" s="102" t="s">
        <v>514</v>
      </c>
      <c r="N95" s="102" t="s">
        <v>60</v>
      </c>
      <c r="O95" s="102" t="s">
        <v>515</v>
      </c>
      <c r="P95" s="102" t="s">
        <v>45</v>
      </c>
      <c r="Q95" s="102" t="s">
        <v>514</v>
      </c>
      <c r="R95" s="102" t="s">
        <v>514</v>
      </c>
      <c r="S95" s="102"/>
      <c r="T95" s="102"/>
    </row>
    <row r="96" spans="1:20">
      <c r="A96" s="102" t="s">
        <v>37</v>
      </c>
      <c r="B96" s="146"/>
      <c r="C96" s="133">
        <f>_xlfn.XLOOKUP(H96,RH!$D$2:$D$116,RH!$C$2:$C$116,"Terceiro")</f>
        <v>80851528</v>
      </c>
      <c r="D96" s="103" t="str">
        <f t="shared" si="3"/>
        <v>2T - ROTA/2</v>
      </c>
      <c r="E96" s="103" t="s">
        <v>55</v>
      </c>
      <c r="F96" s="103" t="s">
        <v>102</v>
      </c>
      <c r="G96" s="103" t="s">
        <v>516</v>
      </c>
      <c r="H96" s="102" t="s">
        <v>517</v>
      </c>
      <c r="I96" s="102" t="s">
        <v>42</v>
      </c>
      <c r="J96" s="102" t="str">
        <f>_xlfn.XLOOKUP(H96,RH!$D$2:$D$116,RH!$K$2:$K$116,"Terceiro")</f>
        <v>BR1A294</v>
      </c>
      <c r="K96" s="106">
        <v>44382</v>
      </c>
      <c r="L96" s="102" t="str">
        <f t="shared" si="4"/>
        <v>RUA 7, JARDIM EUROPA, 145, MANGABEIRA, FEIRA DE SANTANA, BAHIA, BRASIL</v>
      </c>
      <c r="M96" s="105" t="s">
        <v>518</v>
      </c>
      <c r="N96" s="104">
        <v>145</v>
      </c>
      <c r="O96" s="104" t="s">
        <v>106</v>
      </c>
      <c r="P96" s="102" t="s">
        <v>45</v>
      </c>
      <c r="Q96" s="102" t="s">
        <v>519</v>
      </c>
      <c r="R96" s="102" t="s">
        <v>520</v>
      </c>
      <c r="S96" s="102"/>
      <c r="T96" s="102"/>
    </row>
    <row r="97" spans="1:20">
      <c r="A97" s="102" t="s">
        <v>37</v>
      </c>
      <c r="B97" s="146"/>
      <c r="C97" s="133">
        <f>_xlfn.XLOOKUP(H97,RH!$D$2:$D$116,RH!$C$2:$C$116,"Terceiro")</f>
        <v>40302139</v>
      </c>
      <c r="D97" s="103" t="str">
        <f t="shared" si="3"/>
        <v>ADM - ROTA/4</v>
      </c>
      <c r="E97" s="103" t="s">
        <v>13</v>
      </c>
      <c r="F97" s="103" t="s">
        <v>83</v>
      </c>
      <c r="G97" s="103" t="s">
        <v>521</v>
      </c>
      <c r="H97" s="14" t="s">
        <v>522</v>
      </c>
      <c r="I97" s="102" t="s">
        <v>42</v>
      </c>
      <c r="J97" s="102" t="str">
        <f>_xlfn.XLOOKUP(H97,RH!$D$2:$D$116,RH!$K$2:$K$116,"Terceiro")</f>
        <v>BR1A002</v>
      </c>
      <c r="K97" s="106">
        <v>42219</v>
      </c>
      <c r="L97" s="102" t="str">
        <f t="shared" si="4"/>
        <v>RUA DA PAZ, 107, BRASILIA, FEIRA DE SANTANA, BAHIA, BRASIL</v>
      </c>
      <c r="M97" s="102" t="s">
        <v>523</v>
      </c>
      <c r="N97" s="102">
        <v>107</v>
      </c>
      <c r="O97" s="102" t="s">
        <v>413</v>
      </c>
      <c r="P97" s="102" t="s">
        <v>45</v>
      </c>
      <c r="Q97" s="102" t="s">
        <v>523</v>
      </c>
      <c r="R97" s="102" t="s">
        <v>524</v>
      </c>
      <c r="S97" s="102"/>
      <c r="T97" s="102"/>
    </row>
    <row r="98" spans="1:20">
      <c r="A98" s="144" t="s">
        <v>37</v>
      </c>
      <c r="B98" s="146"/>
      <c r="C98" s="133">
        <f>_xlfn.XLOOKUP(H98,RH!$D$2:$D$116,RH!$C$2:$C$116,"Terceiro")</f>
        <v>81081518</v>
      </c>
      <c r="D98" s="103" t="str">
        <f t="shared" ref="D98:D118" si="5">E98&amp;" - "&amp;F98</f>
        <v>2T - ROTA/1</v>
      </c>
      <c r="E98" s="103" t="s">
        <v>55</v>
      </c>
      <c r="F98" s="103" t="s">
        <v>56</v>
      </c>
      <c r="G98" s="103" t="s">
        <v>525</v>
      </c>
      <c r="H98" s="102" t="s">
        <v>526</v>
      </c>
      <c r="I98" s="102" t="s">
        <v>42</v>
      </c>
      <c r="J98" s="102" t="str">
        <f>_xlfn.XLOOKUP(H98,RH!$D$2:$D$116,RH!$K$2:$K$116,"Terceiro")</f>
        <v>BR1A294</v>
      </c>
      <c r="K98" s="106">
        <v>45201</v>
      </c>
      <c r="L98" s="102" t="str">
        <f t="shared" si="4"/>
        <v>CONDOMINIO CENTRAL PARK, N/A, RUA NOVA, FEIRA DE SANTANA, BAHIA, BRASIL</v>
      </c>
      <c r="M98" s="105" t="s">
        <v>527</v>
      </c>
      <c r="N98" s="102" t="s">
        <v>60</v>
      </c>
      <c r="O98" s="102" t="s">
        <v>89</v>
      </c>
      <c r="P98" s="102" t="s">
        <v>45</v>
      </c>
      <c r="Q98" s="105" t="s">
        <v>527</v>
      </c>
      <c r="R98" s="107" t="s">
        <v>527</v>
      </c>
      <c r="S98" s="102"/>
      <c r="T98" s="86"/>
    </row>
    <row r="99" spans="1:20">
      <c r="A99" s="144" t="s">
        <v>37</v>
      </c>
      <c r="B99" s="146"/>
      <c r="C99" s="133" t="str">
        <f>_xlfn.XLOOKUP(H99,RH!$D$2:$D$116,RH!$C$2:$C$116,"Terceiro")</f>
        <v>Terceiro</v>
      </c>
      <c r="D99" s="103" t="str">
        <f t="shared" si="5"/>
        <v>ADM - ROTA/7</v>
      </c>
      <c r="E99" s="103" t="s">
        <v>13</v>
      </c>
      <c r="F99" s="103" t="s">
        <v>357</v>
      </c>
      <c r="G99" s="103" t="s">
        <v>528</v>
      </c>
      <c r="H99" s="102" t="s">
        <v>529</v>
      </c>
      <c r="I99" s="102" t="s">
        <v>86</v>
      </c>
      <c r="J99" s="102" t="s">
        <v>87</v>
      </c>
      <c r="K99" s="106">
        <v>45665</v>
      </c>
      <c r="L99" s="102" t="str">
        <f t="shared" si="4"/>
        <v>Rua do Mercado, N/A, HUMILDES, HUMILDES, BAHIA, BRASIL</v>
      </c>
      <c r="M99" s="105" t="s">
        <v>360</v>
      </c>
      <c r="N99" s="102" t="s">
        <v>60</v>
      </c>
      <c r="O99" s="102" t="s">
        <v>327</v>
      </c>
      <c r="P99" s="102" t="s">
        <v>327</v>
      </c>
      <c r="Q99" s="102" t="s">
        <v>361</v>
      </c>
      <c r="R99" s="105" t="s">
        <v>199</v>
      </c>
      <c r="S99" s="102"/>
      <c r="T99" s="86"/>
    </row>
    <row r="100" spans="1:20">
      <c r="A100" s="144" t="s">
        <v>37</v>
      </c>
      <c r="B100" s="146"/>
      <c r="C100" s="133">
        <f>_xlfn.XLOOKUP(H100,RH!$D$2:$D$116,RH!$C$2:$C$116,"Terceiro")</f>
        <v>40175810</v>
      </c>
      <c r="D100" s="103" t="str">
        <f t="shared" si="5"/>
        <v>2T - ROTA/4</v>
      </c>
      <c r="E100" s="103" t="s">
        <v>55</v>
      </c>
      <c r="F100" s="103" t="s">
        <v>83</v>
      </c>
      <c r="G100" s="103" t="s">
        <v>530</v>
      </c>
      <c r="H100" s="16" t="s">
        <v>531</v>
      </c>
      <c r="I100" s="102" t="s">
        <v>42</v>
      </c>
      <c r="J100" s="102" t="str">
        <f>_xlfn.XLOOKUP(H100,RH!$D$2:$D$116,RH!$K$2:$K$116,"Terceiro")</f>
        <v>BR1A004</v>
      </c>
      <c r="K100" s="106">
        <v>40756</v>
      </c>
      <c r="L100" s="102" t="str">
        <f t="shared" si="4"/>
        <v>RUA TELES, 170, HUMILDES, HUMILDES, BAHIA, BRASIL</v>
      </c>
      <c r="M100" s="103" t="s">
        <v>532</v>
      </c>
      <c r="N100" s="103">
        <v>170</v>
      </c>
      <c r="O100" s="103" t="s">
        <v>327</v>
      </c>
      <c r="P100" s="102" t="s">
        <v>327</v>
      </c>
      <c r="Q100" s="103" t="s">
        <v>533</v>
      </c>
      <c r="R100" s="103" t="s">
        <v>534</v>
      </c>
      <c r="S100" s="102"/>
      <c r="T100" s="86"/>
    </row>
    <row r="101" spans="1:20">
      <c r="A101" s="144" t="s">
        <v>37</v>
      </c>
      <c r="B101" s="146"/>
      <c r="C101" s="133">
        <f>_xlfn.XLOOKUP(H101,RH!$D$2:$D$116,RH!$C$2:$C$116,"Terceiro")</f>
        <v>80979600</v>
      </c>
      <c r="D101" s="103" t="str">
        <f t="shared" si="5"/>
        <v>1T - ROTA/5</v>
      </c>
      <c r="E101" s="103" t="s">
        <v>38</v>
      </c>
      <c r="F101" s="103" t="s">
        <v>39</v>
      </c>
      <c r="G101" s="103" t="s">
        <v>535</v>
      </c>
      <c r="H101" s="103" t="s">
        <v>536</v>
      </c>
      <c r="I101" s="102" t="s">
        <v>42</v>
      </c>
      <c r="J101" s="102" t="str">
        <f>_xlfn.XLOOKUP(H101,RH!$D$2:$D$116,RH!$K$2:$K$116,"Terceiro")</f>
        <v>BR1A009</v>
      </c>
      <c r="K101" s="106">
        <v>44816</v>
      </c>
      <c r="L101" s="102" t="str">
        <f t="shared" si="4"/>
        <v>RUA SALMO VINTE E QUATRO, 5, FRATERNIDADE, FEIRA DE SANTANA, BAHIA, BRASIL</v>
      </c>
      <c r="M101" s="102" t="s">
        <v>537</v>
      </c>
      <c r="N101" s="102">
        <v>5</v>
      </c>
      <c r="O101" s="102" t="s">
        <v>143</v>
      </c>
      <c r="P101" s="102" t="s">
        <v>45</v>
      </c>
      <c r="Q101" s="102" t="s">
        <v>538</v>
      </c>
      <c r="R101" s="105" t="s">
        <v>539</v>
      </c>
      <c r="S101" s="102"/>
      <c r="T101" s="86"/>
    </row>
    <row r="102" spans="1:20" ht="13.5">
      <c r="A102" s="144" t="s">
        <v>37</v>
      </c>
      <c r="B102" s="146"/>
      <c r="C102" s="133">
        <f>_xlfn.XLOOKUP(H102,RH!$D$2:$D$116,RH!$C$2:$C$116,"Terceiro")</f>
        <v>81174247</v>
      </c>
      <c r="D102" s="103" t="str">
        <f t="shared" si="5"/>
        <v>1T - ROTA/5</v>
      </c>
      <c r="E102" s="103" t="s">
        <v>38</v>
      </c>
      <c r="F102" s="103" t="s">
        <v>39</v>
      </c>
      <c r="G102" s="103" t="s">
        <v>540</v>
      </c>
      <c r="H102" s="14" t="s">
        <v>541</v>
      </c>
      <c r="I102" s="102" t="s">
        <v>42</v>
      </c>
      <c r="J102" s="102" t="str">
        <f>_xlfn.XLOOKUP(H102,RH!$D$2:$D$116,RH!$K$2:$K$116,"Terceiro")</f>
        <v>BR1A009</v>
      </c>
      <c r="K102" s="106">
        <v>45537</v>
      </c>
      <c r="L102" s="102" t="str">
        <f t="shared" si="4"/>
        <v>RUA SALMO 40, N/A, TOMBA, FEIRA DE SANTANA, BAHIA, BRASIL</v>
      </c>
      <c r="M102" s="104" t="s">
        <v>542</v>
      </c>
      <c r="N102" s="102" t="s">
        <v>60</v>
      </c>
      <c r="O102" s="111" t="s">
        <v>338</v>
      </c>
      <c r="P102" s="102" t="s">
        <v>45</v>
      </c>
      <c r="Q102" s="102" t="s">
        <v>543</v>
      </c>
      <c r="R102" s="105" t="s">
        <v>544</v>
      </c>
      <c r="S102" s="102"/>
      <c r="T102" s="86"/>
    </row>
    <row r="103" spans="1:20">
      <c r="A103" s="144" t="s">
        <v>37</v>
      </c>
      <c r="B103" s="146"/>
      <c r="C103" s="133">
        <f>_xlfn.XLOOKUP(H103,RH!$D$2:$D$116,RH!$C$2:$C$116,"Terceiro")</f>
        <v>80977012</v>
      </c>
      <c r="D103" s="103" t="str">
        <f t="shared" si="5"/>
        <v>1T - ROTA/5</v>
      </c>
      <c r="E103" s="103" t="s">
        <v>38</v>
      </c>
      <c r="F103" s="103" t="s">
        <v>39</v>
      </c>
      <c r="G103" s="103" t="s">
        <v>545</v>
      </c>
      <c r="H103" s="102" t="s">
        <v>546</v>
      </c>
      <c r="I103" s="102" t="s">
        <v>42</v>
      </c>
      <c r="J103" s="102" t="str">
        <f>_xlfn.XLOOKUP(H103,RH!$D$2:$D$116,RH!$K$2:$K$116,"Terceiro")</f>
        <v>BR1A007</v>
      </c>
      <c r="K103" s="106">
        <v>44809</v>
      </c>
      <c r="L103" s="102" t="str">
        <f t="shared" si="4"/>
        <v>RUA LEOGEVILDO LACERDA, 500, AVIARIO, FEIRA DE SANTANA, BAHIA, BRASIL</v>
      </c>
      <c r="M103" s="104" t="s">
        <v>547</v>
      </c>
      <c r="N103" s="102">
        <v>500</v>
      </c>
      <c r="O103" s="102" t="s">
        <v>73</v>
      </c>
      <c r="P103" s="102" t="s">
        <v>45</v>
      </c>
      <c r="Q103" s="102" t="s">
        <v>548</v>
      </c>
      <c r="R103" s="105" t="s">
        <v>549</v>
      </c>
      <c r="S103" s="102"/>
      <c r="T103" s="86"/>
    </row>
    <row r="104" spans="1:20">
      <c r="A104" s="144" t="s">
        <v>37</v>
      </c>
      <c r="B104" s="146"/>
      <c r="C104" s="133">
        <f>_xlfn.XLOOKUP(H104,RH!$D$2:$D$116,RH!$C$2:$C$116,"Terceiro")</f>
        <v>80015716</v>
      </c>
      <c r="D104" s="103" t="str">
        <f t="shared" si="5"/>
        <v>1T - ROTA/5</v>
      </c>
      <c r="E104" s="103" t="s">
        <v>38</v>
      </c>
      <c r="F104" s="103" t="s">
        <v>39</v>
      </c>
      <c r="G104" s="103" t="s">
        <v>550</v>
      </c>
      <c r="H104" s="102" t="s">
        <v>551</v>
      </c>
      <c r="I104" s="102" t="s">
        <v>42</v>
      </c>
      <c r="J104" s="102" t="str">
        <f>_xlfn.XLOOKUP(H104,RH!$D$2:$D$116,RH!$K$2:$K$116,"Terceiro")</f>
        <v>BR1A294</v>
      </c>
      <c r="K104" s="106">
        <v>42471</v>
      </c>
      <c r="L104" s="102" t="str">
        <f t="shared" si="4"/>
        <v>RUA GRACIANE DIAS, 113, LIBERDADE, FEIRA DE SANTANA, BAHIA, BRASIL</v>
      </c>
      <c r="M104" s="105" t="s">
        <v>552</v>
      </c>
      <c r="N104" s="102">
        <v>113</v>
      </c>
      <c r="O104" s="109" t="s">
        <v>553</v>
      </c>
      <c r="P104" s="102" t="s">
        <v>45</v>
      </c>
      <c r="Q104" s="102" t="s">
        <v>554</v>
      </c>
      <c r="R104" s="105" t="s">
        <v>555</v>
      </c>
      <c r="S104" s="102"/>
      <c r="T104" s="86"/>
    </row>
    <row r="105" spans="1:20">
      <c r="A105" s="144" t="s">
        <v>37</v>
      </c>
      <c r="B105" s="146"/>
      <c r="C105" s="133">
        <f>_xlfn.XLOOKUP(H105,RH!$D$2:$D$116,RH!$C$2:$C$116,"Terceiro")</f>
        <v>80189683</v>
      </c>
      <c r="D105" s="103" t="str">
        <f t="shared" si="5"/>
        <v>2T - ROTA/2</v>
      </c>
      <c r="E105" s="103" t="s">
        <v>55</v>
      </c>
      <c r="F105" s="103" t="s">
        <v>102</v>
      </c>
      <c r="G105" s="103" t="s">
        <v>556</v>
      </c>
      <c r="H105" s="102" t="s">
        <v>557</v>
      </c>
      <c r="I105" s="102" t="s">
        <v>42</v>
      </c>
      <c r="J105" s="102" t="str">
        <f>_xlfn.XLOOKUP(H105,RH!$D$2:$D$116,RH!$K$2:$K$116,"Terceiro")</f>
        <v>BR1A012</v>
      </c>
      <c r="K105" s="106">
        <v>43619</v>
      </c>
      <c r="L105" s="102" t="str">
        <f t="shared" si="4"/>
        <v>RUA ROCHA POMBO, 219, CONCEIÇÃO I, FEIRA DE SANTANA, BAHIA, BRASIL</v>
      </c>
      <c r="M105" s="102" t="s">
        <v>558</v>
      </c>
      <c r="N105" s="102">
        <v>219</v>
      </c>
      <c r="O105" s="103" t="s">
        <v>254</v>
      </c>
      <c r="P105" s="102" t="s">
        <v>45</v>
      </c>
      <c r="Q105" s="102" t="s">
        <v>559</v>
      </c>
      <c r="R105" s="102" t="s">
        <v>560</v>
      </c>
      <c r="S105" s="102"/>
      <c r="T105" s="86"/>
    </row>
    <row r="106" spans="1:20">
      <c r="A106" s="144" t="s">
        <v>37</v>
      </c>
      <c r="B106" s="146"/>
      <c r="C106" s="133">
        <f>_xlfn.XLOOKUP(H106,RH!$D$2:$D$116,RH!$C$2:$C$116,"Terceiro")</f>
        <v>81181365</v>
      </c>
      <c r="D106" s="103" t="str">
        <f t="shared" si="5"/>
        <v>ADM - ROTA/4</v>
      </c>
      <c r="E106" s="103" t="s">
        <v>13</v>
      </c>
      <c r="F106" s="103" t="s">
        <v>83</v>
      </c>
      <c r="G106" s="103" t="s">
        <v>561</v>
      </c>
      <c r="H106" s="102" t="s">
        <v>562</v>
      </c>
      <c r="I106" s="102" t="s">
        <v>42</v>
      </c>
      <c r="J106" s="102" t="str">
        <f>_xlfn.XLOOKUP(H106,RH!$D$2:$D$116,RH!$K$2:$K$116,"Terceiro")</f>
        <v>BR1A004</v>
      </c>
      <c r="K106" s="106">
        <v>45579</v>
      </c>
      <c r="L106" s="102" t="str">
        <f t="shared" si="4"/>
        <v>RUA MILAO, 886, BRASILIA, FEIRA DE SANTANA, BAHIA, BRASIL</v>
      </c>
      <c r="M106" s="102" t="s">
        <v>563</v>
      </c>
      <c r="N106" s="102">
        <v>886</v>
      </c>
      <c r="O106" s="105" t="s">
        <v>413</v>
      </c>
      <c r="P106" s="102" t="s">
        <v>45</v>
      </c>
      <c r="Q106" s="105" t="s">
        <v>563</v>
      </c>
      <c r="R106" s="102" t="s">
        <v>564</v>
      </c>
      <c r="S106" s="102"/>
      <c r="T106" s="86"/>
    </row>
    <row r="107" spans="1:20">
      <c r="A107" s="144" t="s">
        <v>37</v>
      </c>
      <c r="B107" s="146"/>
      <c r="C107" s="133" t="str">
        <f>_xlfn.XLOOKUP(H107,RH!$D$2:$D$116,RH!$C$2:$C$116,"Terceiro")</f>
        <v>Terceiro</v>
      </c>
      <c r="D107" s="103" t="str">
        <f t="shared" si="5"/>
        <v>2T - ROTA/3</v>
      </c>
      <c r="E107" s="103" t="s">
        <v>55</v>
      </c>
      <c r="F107" s="103" t="s">
        <v>76</v>
      </c>
      <c r="G107" s="103" t="s">
        <v>565</v>
      </c>
      <c r="H107" s="14" t="s">
        <v>566</v>
      </c>
      <c r="I107" s="102" t="s">
        <v>86</v>
      </c>
      <c r="J107" s="102" t="s">
        <v>87</v>
      </c>
      <c r="K107" s="106">
        <v>45665</v>
      </c>
      <c r="L107" s="102" t="str">
        <f t="shared" si="4"/>
        <v>RUA DOUTOR SIMOES FILHO, 41, PONTO CENTRAL, FEIRA DE SANTANA, BAHIA, BRASIL</v>
      </c>
      <c r="M107" s="102" t="s">
        <v>567</v>
      </c>
      <c r="N107" s="102">
        <v>41</v>
      </c>
      <c r="O107" s="102" t="s">
        <v>568</v>
      </c>
      <c r="P107" s="102" t="s">
        <v>45</v>
      </c>
      <c r="Q107" s="102" t="s">
        <v>569</v>
      </c>
      <c r="R107" s="102" t="s">
        <v>570</v>
      </c>
      <c r="S107" s="102"/>
      <c r="T107" s="86"/>
    </row>
    <row r="108" spans="1:20">
      <c r="A108" s="144" t="s">
        <v>37</v>
      </c>
      <c r="B108" s="146"/>
      <c r="C108" s="133">
        <f>_xlfn.XLOOKUP(H108,RH!$D$2:$D$116,RH!$C$2:$C$116,"Terceiro")</f>
        <v>80157138</v>
      </c>
      <c r="D108" s="103" t="str">
        <f t="shared" si="5"/>
        <v>1T - ROTA/1</v>
      </c>
      <c r="E108" s="103" t="s">
        <v>38</v>
      </c>
      <c r="F108" s="103" t="s">
        <v>56</v>
      </c>
      <c r="G108" s="103" t="s">
        <v>571</v>
      </c>
      <c r="H108" s="104" t="s">
        <v>572</v>
      </c>
      <c r="I108" s="102" t="s">
        <v>42</v>
      </c>
      <c r="J108" s="102" t="str">
        <f>_xlfn.XLOOKUP(H108,RH!$D$2:$D$116,RH!$K$2:$K$116,"Terceiro")</f>
        <v>BR1A312</v>
      </c>
      <c r="K108" s="106">
        <v>43437</v>
      </c>
      <c r="L108" s="102" t="str">
        <f t="shared" si="4"/>
        <v>RUA A LOTEAMENTO AGNELO COSTA, 385, HUMILDES, HUMILDES, BAHIA, BRASIL</v>
      </c>
      <c r="M108" s="104" t="s">
        <v>573</v>
      </c>
      <c r="N108" s="104">
        <v>385</v>
      </c>
      <c r="O108" s="104" t="s">
        <v>327</v>
      </c>
      <c r="P108" s="102" t="s">
        <v>327</v>
      </c>
      <c r="Q108" s="102" t="s">
        <v>574</v>
      </c>
      <c r="R108" s="102" t="s">
        <v>575</v>
      </c>
      <c r="S108" s="102"/>
      <c r="T108" s="86"/>
    </row>
    <row r="109" spans="1:20">
      <c r="A109" s="144" t="s">
        <v>37</v>
      </c>
      <c r="B109" s="146"/>
      <c r="C109" s="133">
        <f>_xlfn.XLOOKUP(H109,RH!$D$2:$D$116,RH!$C$2:$C$116,"Terceiro")</f>
        <v>80007689</v>
      </c>
      <c r="D109" s="103" t="str">
        <f t="shared" si="5"/>
        <v>1T - ROTA/7</v>
      </c>
      <c r="E109" s="103" t="s">
        <v>38</v>
      </c>
      <c r="F109" s="103" t="s">
        <v>357</v>
      </c>
      <c r="G109" s="103" t="s">
        <v>576</v>
      </c>
      <c r="H109" s="103" t="s">
        <v>577</v>
      </c>
      <c r="I109" s="102" t="s">
        <v>42</v>
      </c>
      <c r="J109" s="102" t="str">
        <f>_xlfn.XLOOKUP(H109,RH!$D$2:$D$116,RH!$K$2:$K$116,"Terceiro")</f>
        <v>BR1A312</v>
      </c>
      <c r="K109" s="106">
        <v>42268</v>
      </c>
      <c r="L109" s="102" t="str">
        <f t="shared" si="4"/>
        <v>RUA AMANDA DE A SSIS COSTA, 115, AMELIA RODRIGUES, AMELIA RODRIGUES, BAHIA, BRASIL</v>
      </c>
      <c r="M109" s="102" t="s">
        <v>578</v>
      </c>
      <c r="N109" s="102">
        <v>115</v>
      </c>
      <c r="O109" s="102" t="s">
        <v>266</v>
      </c>
      <c r="P109" s="102" t="s">
        <v>266</v>
      </c>
      <c r="Q109" s="102" t="s">
        <v>579</v>
      </c>
      <c r="R109" s="102" t="s">
        <v>580</v>
      </c>
      <c r="S109" s="102"/>
      <c r="T109" s="86"/>
    </row>
    <row r="110" spans="1:20">
      <c r="A110" s="144" t="s">
        <v>37</v>
      </c>
      <c r="B110" s="146"/>
      <c r="C110" s="133">
        <f>_xlfn.XLOOKUP(H110,RH!$D$2:$D$116,RH!$C$2:$C$116,"Terceiro")</f>
        <v>80084668</v>
      </c>
      <c r="D110" s="103" t="str">
        <f t="shared" si="5"/>
        <v>1T - ROTA/4</v>
      </c>
      <c r="E110" s="103" t="s">
        <v>38</v>
      </c>
      <c r="F110" s="103" t="s">
        <v>83</v>
      </c>
      <c r="G110" s="103" t="s">
        <v>581</v>
      </c>
      <c r="H110" s="103" t="s">
        <v>582</v>
      </c>
      <c r="I110" s="102" t="s">
        <v>42</v>
      </c>
      <c r="J110" s="102" t="str">
        <f>_xlfn.XLOOKUP(H110,RH!$D$2:$D$116,RH!$K$2:$K$116,"Terceiro")</f>
        <v>BR1A009</v>
      </c>
      <c r="K110" s="106">
        <v>43024</v>
      </c>
      <c r="L110" s="102" t="str">
        <f t="shared" si="4"/>
        <v>RUA CLOVIS BEVILAQUA, 251, SERRARIA BRASIL, FEIRA DE SANTANA, BAHIA, BRASIL</v>
      </c>
      <c r="M110" s="102" t="s">
        <v>583</v>
      </c>
      <c r="N110" s="102">
        <v>251</v>
      </c>
      <c r="O110" s="102" t="s">
        <v>100</v>
      </c>
      <c r="P110" s="102" t="s">
        <v>45</v>
      </c>
      <c r="Q110" s="102" t="s">
        <v>584</v>
      </c>
      <c r="R110" s="102" t="s">
        <v>584</v>
      </c>
      <c r="S110" s="102"/>
      <c r="T110" s="86"/>
    </row>
    <row r="111" spans="1:20">
      <c r="A111" s="144" t="s">
        <v>37</v>
      </c>
      <c r="B111" s="146"/>
      <c r="C111" s="133">
        <f>_xlfn.XLOOKUP(H111,RH!$D$2:$D$116,RH!$C$2:$C$116,"Terceiro")</f>
        <v>80300509</v>
      </c>
      <c r="D111" s="103" t="str">
        <f t="shared" si="5"/>
        <v>1T - ROTA/8</v>
      </c>
      <c r="E111" s="103" t="s">
        <v>38</v>
      </c>
      <c r="F111" s="103" t="s">
        <v>69</v>
      </c>
      <c r="G111" s="103" t="s">
        <v>585</v>
      </c>
      <c r="H111" s="102" t="s">
        <v>586</v>
      </c>
      <c r="I111" s="102" t="s">
        <v>42</v>
      </c>
      <c r="J111" s="102" t="str">
        <f>_xlfn.XLOOKUP(H111,RH!$D$2:$D$116,RH!$K$2:$K$116,"Terceiro")</f>
        <v>BR1A312</v>
      </c>
      <c r="K111" s="106">
        <v>44151</v>
      </c>
      <c r="L111" s="102" t="str">
        <f t="shared" si="4"/>
        <v>RUA PETRÓPOLIS, 167, CAMPO LIMPO, FEIRA DE SANTANA, BAHIA, BRASIL</v>
      </c>
      <c r="M111" s="102" t="s">
        <v>587</v>
      </c>
      <c r="N111" s="102">
        <v>167</v>
      </c>
      <c r="O111" s="102" t="s">
        <v>150</v>
      </c>
      <c r="P111" s="102" t="s">
        <v>45</v>
      </c>
      <c r="Q111" s="102" t="s">
        <v>588</v>
      </c>
      <c r="R111" s="102" t="s">
        <v>589</v>
      </c>
      <c r="S111" s="102"/>
      <c r="T111" s="86"/>
    </row>
    <row r="112" spans="1:20">
      <c r="A112" s="144" t="s">
        <v>37</v>
      </c>
      <c r="B112" s="146"/>
      <c r="C112" s="133">
        <f>_xlfn.XLOOKUP(H112,RH!$D$2:$D$116,RH!$C$2:$C$116,"Terceiro")</f>
        <v>80997268</v>
      </c>
      <c r="D112" s="103" t="str">
        <f t="shared" si="5"/>
        <v>3T - ROTA/2</v>
      </c>
      <c r="E112" s="103" t="s">
        <v>63</v>
      </c>
      <c r="F112" s="103" t="s">
        <v>102</v>
      </c>
      <c r="G112" s="16" t="s">
        <v>590</v>
      </c>
      <c r="H112" s="16" t="s">
        <v>591</v>
      </c>
      <c r="I112" s="102" t="s">
        <v>42</v>
      </c>
      <c r="J112" s="102" t="str">
        <f>_xlfn.XLOOKUP(H112,RH!$D$2:$D$116,RH!$K$2:$K$116,"Terceiro")</f>
        <v>BR1A312</v>
      </c>
      <c r="K112" s="106">
        <v>44872</v>
      </c>
      <c r="L112" s="102" t="str">
        <f t="shared" si="4"/>
        <v>Rua Vasco Filho, 590, SERRARIA BRASIL, FEIRA DE SANTANA, BAHIA, BRASIL</v>
      </c>
      <c r="M112" s="103" t="s">
        <v>592</v>
      </c>
      <c r="N112" s="103">
        <v>590</v>
      </c>
      <c r="O112" s="103" t="s">
        <v>100</v>
      </c>
      <c r="P112" s="102" t="s">
        <v>45</v>
      </c>
      <c r="Q112" s="103" t="s">
        <v>593</v>
      </c>
      <c r="R112" s="103" t="s">
        <v>594</v>
      </c>
      <c r="S112" s="102"/>
      <c r="T112" s="86"/>
    </row>
    <row r="113" spans="1:20">
      <c r="A113" s="144" t="s">
        <v>37</v>
      </c>
      <c r="B113" s="146"/>
      <c r="C113" s="133">
        <f>_xlfn.XLOOKUP(H113,RH!$D$2:$D$116,RH!$C$2:$C$116,"Terceiro")</f>
        <v>80007224</v>
      </c>
      <c r="D113" s="103" t="str">
        <f t="shared" si="5"/>
        <v>2T - ROTA/3</v>
      </c>
      <c r="E113" s="103" t="s">
        <v>55</v>
      </c>
      <c r="F113" s="103" t="s">
        <v>76</v>
      </c>
      <c r="G113" s="103" t="s">
        <v>595</v>
      </c>
      <c r="H113" s="102" t="s">
        <v>596</v>
      </c>
      <c r="I113" s="102" t="s">
        <v>42</v>
      </c>
      <c r="J113" s="102" t="str">
        <f>_xlfn.XLOOKUP(H113,RH!$D$2:$D$116,RH!$K$2:$K$116,"Terceiro")</f>
        <v>BR1A312</v>
      </c>
      <c r="K113" s="106">
        <v>42255</v>
      </c>
      <c r="L113" s="102" t="str">
        <f t="shared" si="4"/>
        <v>RUA AMAZONA, 13, QUEIMADINHA, FEIRA DE SANTANA, BAHIA, BRASIL</v>
      </c>
      <c r="M113" s="102" t="s">
        <v>597</v>
      </c>
      <c r="N113" s="102">
        <v>13</v>
      </c>
      <c r="O113" s="102" t="s">
        <v>162</v>
      </c>
      <c r="P113" s="102" t="s">
        <v>45</v>
      </c>
      <c r="Q113" s="102" t="s">
        <v>598</v>
      </c>
      <c r="R113" s="102" t="s">
        <v>599</v>
      </c>
      <c r="S113" s="102"/>
      <c r="T113" s="86"/>
    </row>
    <row r="114" spans="1:20">
      <c r="A114" s="144" t="s">
        <v>37</v>
      </c>
      <c r="B114" s="146"/>
      <c r="C114" s="133">
        <f>_xlfn.XLOOKUP(H114,RH!$D$2:$D$116,RH!$C$2:$C$116,"Terceiro")</f>
        <v>40213379</v>
      </c>
      <c r="D114" s="103" t="str">
        <f t="shared" si="5"/>
        <v>1T - ROTA/10</v>
      </c>
      <c r="E114" s="103" t="s">
        <v>38</v>
      </c>
      <c r="F114" s="103" t="s">
        <v>146</v>
      </c>
      <c r="G114" s="103" t="s">
        <v>600</v>
      </c>
      <c r="H114" s="14" t="s">
        <v>601</v>
      </c>
      <c r="I114" s="102" t="s">
        <v>42</v>
      </c>
      <c r="J114" s="102" t="str">
        <f>_xlfn.XLOOKUP(H114,RH!$D$2:$D$116,RH!$K$2:$K$116,"Terceiro")</f>
        <v>BR1A010</v>
      </c>
      <c r="K114" s="106">
        <v>41372</v>
      </c>
      <c r="L114" s="102" t="str">
        <f t="shared" si="4"/>
        <v>RUA A, CAMINHO 39, N/A, FEIRA VI, FEIRA DE SANTANA, BAHIA, BRASIL</v>
      </c>
      <c r="M114" s="102" t="s">
        <v>602</v>
      </c>
      <c r="N114" s="102" t="s">
        <v>60</v>
      </c>
      <c r="O114" s="102" t="s">
        <v>603</v>
      </c>
      <c r="P114" s="102" t="s">
        <v>45</v>
      </c>
      <c r="Q114" s="102" t="s">
        <v>604</v>
      </c>
      <c r="R114" s="102" t="s">
        <v>605</v>
      </c>
      <c r="S114" s="102"/>
      <c r="T114" s="86"/>
    </row>
    <row r="115" spans="1:20">
      <c r="A115" s="144" t="s">
        <v>37</v>
      </c>
      <c r="B115" s="146"/>
      <c r="C115" s="133">
        <f>_xlfn.XLOOKUP(H115,RH!$D$2:$D$116,RH!$C$2:$C$116,"Terceiro")</f>
        <v>81200617</v>
      </c>
      <c r="D115" s="103" t="str">
        <f t="shared" si="5"/>
        <v>1T - ROTA/6</v>
      </c>
      <c r="E115" s="103" t="s">
        <v>38</v>
      </c>
      <c r="F115" s="103" t="s">
        <v>48</v>
      </c>
      <c r="G115" s="103" t="s">
        <v>606</v>
      </c>
      <c r="H115" s="103" t="s">
        <v>607</v>
      </c>
      <c r="I115" s="102" t="s">
        <v>42</v>
      </c>
      <c r="J115" s="102" t="str">
        <f>_xlfn.XLOOKUP(H115,RH!$D$2:$D$116,RH!$K$2:$K$116,"Terceiro")</f>
        <v>BR1A012</v>
      </c>
      <c r="K115" s="106">
        <v>45698</v>
      </c>
      <c r="L115" s="102" t="str">
        <f t="shared" si="4"/>
        <v>RUA ATENAS, 298, PAPAGAIO, FEIRA DE SANTANA, BAHIA, BRASIL</v>
      </c>
      <c r="M115" s="102" t="s">
        <v>608</v>
      </c>
      <c r="N115" s="102">
        <v>298</v>
      </c>
      <c r="O115" s="102" t="s">
        <v>515</v>
      </c>
      <c r="P115" s="102" t="s">
        <v>45</v>
      </c>
      <c r="Q115" s="102" t="s">
        <v>609</v>
      </c>
      <c r="R115" s="102" t="s">
        <v>610</v>
      </c>
      <c r="S115" s="102"/>
      <c r="T115" s="86"/>
    </row>
    <row r="116" spans="1:20">
      <c r="A116" s="144" t="s">
        <v>37</v>
      </c>
      <c r="B116" s="146"/>
      <c r="C116" s="133">
        <f>_xlfn.XLOOKUP(H116,RH!$D$2:$D$116,RH!$C$2:$C$116,"Terceiro")</f>
        <v>81217372</v>
      </c>
      <c r="D116" s="103" t="str">
        <f t="shared" si="5"/>
        <v>2T - ROTA/5</v>
      </c>
      <c r="E116" s="103" t="s">
        <v>55</v>
      </c>
      <c r="F116" s="103" t="s">
        <v>39</v>
      </c>
      <c r="G116" s="103" t="s">
        <v>611</v>
      </c>
      <c r="H116" s="16" t="s">
        <v>612</v>
      </c>
      <c r="I116" s="102" t="s">
        <v>42</v>
      </c>
      <c r="J116" s="102" t="str">
        <f>_xlfn.XLOOKUP(H116,RH!$D$2:$D$116,RH!$K$2:$K$116,"Terceiro")</f>
        <v>BR1A004</v>
      </c>
      <c r="K116" s="106">
        <v>45782</v>
      </c>
      <c r="L116" s="102" t="str">
        <f t="shared" si="4"/>
        <v>RUA MARIA ALVES BRASIL, 47, CAMPO LIMPO, FEIRA DE SANTANA, BAHIA, BRASIL</v>
      </c>
      <c r="M116" s="103" t="s">
        <v>613</v>
      </c>
      <c r="N116" s="103">
        <v>47</v>
      </c>
      <c r="O116" s="103" t="s">
        <v>150</v>
      </c>
      <c r="P116" s="102" t="s">
        <v>45</v>
      </c>
      <c r="Q116" s="103" t="s">
        <v>614</v>
      </c>
      <c r="S116" s="102"/>
      <c r="T116" s="86"/>
    </row>
    <row r="117" spans="1:20">
      <c r="A117" s="144" t="s">
        <v>37</v>
      </c>
      <c r="B117" s="146"/>
      <c r="C117" s="133">
        <f>_xlfn.XLOOKUP(H117,RH!$D$2:$D$116,RH!$C$2:$C$116,"Terceiro")</f>
        <v>81130135</v>
      </c>
      <c r="D117" s="103" t="str">
        <f t="shared" si="5"/>
        <v>1T - ROTA/9</v>
      </c>
      <c r="E117" s="103" t="s">
        <v>38</v>
      </c>
      <c r="F117" s="103" t="s">
        <v>416</v>
      </c>
      <c r="G117" s="103" t="s">
        <v>615</v>
      </c>
      <c r="H117" s="103" t="s">
        <v>616</v>
      </c>
      <c r="I117" s="102" t="s">
        <v>42</v>
      </c>
      <c r="J117" s="102" t="str">
        <f>_xlfn.XLOOKUP(H117,RH!$D$2:$D$116,RH!$K$2:$K$116,"Terceiro")</f>
        <v>BR1A004</v>
      </c>
      <c r="K117" s="106">
        <v>45355</v>
      </c>
      <c r="L117" s="102" t="str">
        <f t="shared" si="4"/>
        <v>PRAÇA MACHADO, N/A, SÃO GONÇALO DOS CAMPOS, SÃO GONÇALO DOS CAMPOS, BAHIA, BRASIL</v>
      </c>
      <c r="M117" s="105" t="s">
        <v>617</v>
      </c>
      <c r="N117" s="102" t="s">
        <v>60</v>
      </c>
      <c r="O117" s="105" t="s">
        <v>420</v>
      </c>
      <c r="P117" s="102" t="s">
        <v>420</v>
      </c>
      <c r="Q117" s="102" t="s">
        <v>618</v>
      </c>
      <c r="R117" s="102" t="s">
        <v>619</v>
      </c>
      <c r="S117" s="102"/>
      <c r="T117" s="86"/>
    </row>
    <row r="118" spans="1:20">
      <c r="A118" s="144" t="s">
        <v>37</v>
      </c>
      <c r="B118" s="146"/>
      <c r="C118" s="133">
        <f>_xlfn.XLOOKUP(H118,RH!$D$2:$D$116,RH!$C$2:$C$116,"Terceiro")</f>
        <v>81136143</v>
      </c>
      <c r="D118" s="103" t="str">
        <f t="shared" si="5"/>
        <v>3T - ROTA/2</v>
      </c>
      <c r="E118" s="103" t="s">
        <v>63</v>
      </c>
      <c r="F118" s="103" t="s">
        <v>102</v>
      </c>
      <c r="G118" s="16" t="s">
        <v>620</v>
      </c>
      <c r="H118" s="16" t="s">
        <v>621</v>
      </c>
      <c r="I118" s="102" t="s">
        <v>42</v>
      </c>
      <c r="J118" s="102" t="str">
        <f>_xlfn.XLOOKUP(H118,RH!$D$2:$D$116,RH!$K$2:$K$116,"Terceiro")</f>
        <v>BR1A312</v>
      </c>
      <c r="K118" s="106">
        <v>45383</v>
      </c>
      <c r="L118" s="102" t="str">
        <f t="shared" si="4"/>
        <v>Rua Itauna, 320, TOMBA, FEIRA DE SANTANA, BAHIA, BRASIL</v>
      </c>
      <c r="M118" s="103" t="s">
        <v>622</v>
      </c>
      <c r="N118" s="103">
        <v>320</v>
      </c>
      <c r="O118" s="103" t="s">
        <v>338</v>
      </c>
      <c r="P118" s="102" t="s">
        <v>45</v>
      </c>
      <c r="Q118" s="103" t="s">
        <v>623</v>
      </c>
      <c r="S118" s="102"/>
      <c r="T118" s="86"/>
    </row>
    <row r="119" spans="1:20">
      <c r="A119" s="144" t="s">
        <v>37</v>
      </c>
      <c r="B119" s="146"/>
      <c r="C119" s="133" t="str">
        <f>_xlfn.XLOOKUP(H119,RH!$D$2:$D$116,RH!$C$2:$C$116,"Terceiro")</f>
        <v>Terceiro</v>
      </c>
      <c r="E119" s="103" t="s">
        <v>38</v>
      </c>
      <c r="G119" s="16" t="s">
        <v>624</v>
      </c>
      <c r="H119" s="16" t="s">
        <v>625</v>
      </c>
      <c r="I119" s="103" t="s">
        <v>42</v>
      </c>
      <c r="J119" s="102" t="s">
        <v>626</v>
      </c>
      <c r="K119" s="106"/>
      <c r="L119" s="102" t="str">
        <f t="shared" si="4"/>
        <v>RUA JOSÉ DIOGO DE ARAÚJO, 115, MANGABEIRA, FEIRA DE SANTANA, BAHIA, BRASIL</v>
      </c>
      <c r="M119" s="103" t="s">
        <v>627</v>
      </c>
      <c r="N119" s="103">
        <v>115</v>
      </c>
      <c r="O119" s="103" t="s">
        <v>106</v>
      </c>
      <c r="P119" s="102" t="s">
        <v>45</v>
      </c>
      <c r="S119" s="102"/>
      <c r="T119" s="86"/>
    </row>
    <row r="120" spans="1:20">
      <c r="A120" s="144" t="s">
        <v>37</v>
      </c>
      <c r="B120" s="146"/>
      <c r="C120" s="133">
        <f>_xlfn.XLOOKUP(H120,RH!$D$2:$D$116,RH!$C$2:$C$116,"Terceiro")</f>
        <v>40172548</v>
      </c>
      <c r="D120" s="103" t="str">
        <f>E120&amp;" - "&amp;F120</f>
        <v>ADM - ROTA/5</v>
      </c>
      <c r="E120" s="103" t="s">
        <v>13</v>
      </c>
      <c r="F120" s="103" t="s">
        <v>39</v>
      </c>
      <c r="G120" s="103" t="s">
        <v>628</v>
      </c>
      <c r="H120" s="14" t="s">
        <v>629</v>
      </c>
      <c r="I120" s="102" t="s">
        <v>42</v>
      </c>
      <c r="J120" s="102" t="str">
        <f>_xlfn.XLOOKUP(H120,RH!$D$2:$D$116,RH!$K$2:$K$116,"Terceiro")</f>
        <v>BR2A032</v>
      </c>
      <c r="K120" s="106">
        <v>40665</v>
      </c>
      <c r="L120" s="102" t="str">
        <f t="shared" si="4"/>
        <v>RUA PERO VAZ, 52, SOBRADINHO, FEIRA DE SANTANA, BAHIA, BRASIL</v>
      </c>
      <c r="M120" s="105" t="s">
        <v>630</v>
      </c>
      <c r="N120" s="102">
        <v>52</v>
      </c>
      <c r="O120" s="105" t="s">
        <v>631</v>
      </c>
      <c r="P120" s="102" t="s">
        <v>45</v>
      </c>
      <c r="Q120" s="102" t="s">
        <v>630</v>
      </c>
      <c r="R120" s="102"/>
      <c r="S120" s="102"/>
      <c r="T120" s="86"/>
    </row>
    <row r="121" spans="1:20">
      <c r="A121" s="144" t="s">
        <v>37</v>
      </c>
      <c r="B121" s="146"/>
      <c r="C121" s="133">
        <f>_xlfn.XLOOKUP(H121,RH!$D$2:$D$116,RH!$C$2:$C$116,"Terceiro")</f>
        <v>81238713</v>
      </c>
      <c r="D121" s="103" t="str">
        <f>E121&amp;" - "&amp;F121</f>
        <v>1T - ROTA/8</v>
      </c>
      <c r="E121" s="103" t="s">
        <v>38</v>
      </c>
      <c r="F121" s="103" t="s">
        <v>69</v>
      </c>
      <c r="G121" s="103" t="s">
        <v>632</v>
      </c>
      <c r="H121" s="14" t="s">
        <v>633</v>
      </c>
      <c r="I121" s="102" t="s">
        <v>42</v>
      </c>
      <c r="J121" s="102" t="str">
        <f>_xlfn.XLOOKUP(H121,RH!$D$2:$D$116,RH!$K$2:$K$116,"Terceiro")</f>
        <v>BR1A002</v>
      </c>
      <c r="K121" s="106"/>
      <c r="L121" s="102" t="str">
        <f t="shared" si="4"/>
        <v>RUA J, 11, CAMPO LIMPO, FEIRA DE SANTANA, BAHIA, BRASIL</v>
      </c>
      <c r="M121" s="105" t="s">
        <v>259</v>
      </c>
      <c r="N121" s="102">
        <v>11</v>
      </c>
      <c r="O121" s="102" t="s">
        <v>150</v>
      </c>
      <c r="P121" s="102" t="s">
        <v>45</v>
      </c>
      <c r="Q121" s="102" t="s">
        <v>634</v>
      </c>
      <c r="R121" s="105" t="s">
        <v>635</v>
      </c>
      <c r="S121" s="102"/>
      <c r="T121" s="86"/>
    </row>
    <row r="122" spans="1:20">
      <c r="A122" s="86" t="s">
        <v>37</v>
      </c>
      <c r="B122" s="146"/>
      <c r="C122" s="133" t="str">
        <f>_xlfn.XLOOKUP(H122,RH!$D$2:$D$116,RH!$C$2:$C$116,"Terceiro")</f>
        <v>Terceiro</v>
      </c>
      <c r="D122" s="103" t="str">
        <f>E122&amp;" - "&amp;F122</f>
        <v>1T - ROTA/8</v>
      </c>
      <c r="E122" s="103" t="s">
        <v>38</v>
      </c>
      <c r="F122" s="103" t="s">
        <v>69</v>
      </c>
      <c r="G122" s="103" t="s">
        <v>636</v>
      </c>
      <c r="H122" s="102"/>
      <c r="I122" s="102" t="s">
        <v>322</v>
      </c>
      <c r="J122" s="102" t="s">
        <v>637</v>
      </c>
      <c r="K122" s="106"/>
      <c r="L122" s="102" t="str">
        <f t="shared" si="4"/>
        <v>RUA DA PAZ, 50, GABRIELA, FEIRA DE SANTANA, BAHIA, BRASIL</v>
      </c>
      <c r="M122" s="105" t="s">
        <v>523</v>
      </c>
      <c r="N122" s="102">
        <v>50</v>
      </c>
      <c r="O122" s="102" t="s">
        <v>118</v>
      </c>
      <c r="P122" s="102" t="s">
        <v>45</v>
      </c>
      <c r="Q122" s="105" t="s">
        <v>638</v>
      </c>
      <c r="R122" s="102" t="s">
        <v>639</v>
      </c>
      <c r="T122" s="86"/>
    </row>
    <row r="123" spans="1:20">
      <c r="A123" s="86" t="s">
        <v>37</v>
      </c>
      <c r="B123" s="146"/>
      <c r="C123" s="133" t="str">
        <f>_xlfn.XLOOKUP(H123,RH!$D$2:$D$116,RH!$C$2:$C$116,"Terceiro")</f>
        <v>Terceiro</v>
      </c>
      <c r="D123" s="103" t="str">
        <f>E123&amp;" - "&amp;F123</f>
        <v>ADM - ROTA/8</v>
      </c>
      <c r="E123" s="103" t="s">
        <v>13</v>
      </c>
      <c r="F123" s="103" t="s">
        <v>69</v>
      </c>
      <c r="G123" s="16" t="s">
        <v>640</v>
      </c>
      <c r="I123" s="103" t="s">
        <v>42</v>
      </c>
      <c r="J123" s="102" t="s">
        <v>641</v>
      </c>
      <c r="L123" s="102" t="str">
        <f t="shared" si="4"/>
        <v>POSTO PETROBRAS, AV. PRESIDENTE DULTRA, S/N, BRASILIA, FEIRA DE SANTANA, BAHIA, BRASIL</v>
      </c>
      <c r="M123" s="103" t="s">
        <v>642</v>
      </c>
      <c r="N123" s="103" t="s">
        <v>643</v>
      </c>
      <c r="O123" s="103" t="s">
        <v>413</v>
      </c>
      <c r="P123" s="102" t="s">
        <v>45</v>
      </c>
      <c r="T123" s="86"/>
    </row>
    <row r="124" spans="1:20">
      <c r="A124" s="86" t="s">
        <v>37</v>
      </c>
      <c r="B124" s="146"/>
      <c r="C124" s="133" t="str">
        <f>_xlfn.XLOOKUP(H124,RH!$D$2:$D$116,RH!$C$2:$C$116,"Terceiro")</f>
        <v>Terceiro</v>
      </c>
      <c r="D124" s="103" t="str">
        <f>E124&amp;" - "&amp;F124</f>
        <v>ADM ESPECIAL - ROTA/3</v>
      </c>
      <c r="E124" s="103" t="s">
        <v>235</v>
      </c>
      <c r="F124" s="103" t="s">
        <v>76</v>
      </c>
      <c r="G124" s="129" t="s">
        <v>644</v>
      </c>
      <c r="I124" s="103" t="s">
        <v>86</v>
      </c>
      <c r="J124" s="102" t="s">
        <v>87</v>
      </c>
      <c r="L124" s="102" t="str">
        <f t="shared" si="4"/>
        <v>RUA MONGI DAS CRUZES, S/N, SÃO JOÃO, FEIRA DE SANTANA, BAHIA, BRASIL</v>
      </c>
      <c r="M124" s="103" t="s">
        <v>645</v>
      </c>
      <c r="N124" s="103" t="s">
        <v>643</v>
      </c>
      <c r="O124" s="103" t="s">
        <v>471</v>
      </c>
      <c r="P124" s="102" t="s">
        <v>45</v>
      </c>
      <c r="Q124" s="103" t="s">
        <v>646</v>
      </c>
      <c r="T124" s="86"/>
    </row>
    <row r="125" spans="1:20">
      <c r="A125" s="143"/>
      <c r="C125" s="139"/>
      <c r="D125" s="139"/>
      <c r="E125" s="139"/>
      <c r="F125" s="139"/>
      <c r="G125" s="140"/>
      <c r="H125" s="140"/>
      <c r="I125" s="139"/>
      <c r="J125" s="141"/>
      <c r="K125" s="142"/>
      <c r="L125" s="141"/>
      <c r="M125" s="139"/>
      <c r="N125" s="139"/>
      <c r="O125" s="139"/>
      <c r="P125" s="141"/>
      <c r="Q125" s="139"/>
      <c r="R125" s="139"/>
      <c r="S125" s="139"/>
    </row>
  </sheetData>
  <sheetProtection selectLockedCells="1"/>
  <dataConsolidate/>
  <phoneticPr fontId="16" type="noConversion"/>
  <conditionalFormatting sqref="C1">
    <cfRule type="duplicateValues" dxfId="131" priority="201"/>
  </conditionalFormatting>
  <conditionalFormatting sqref="C2:C124">
    <cfRule type="duplicateValues" dxfId="130" priority="212"/>
  </conditionalFormatting>
  <dataValidations count="1">
    <dataValidation type="list" showInputMessage="1" showErrorMessage="1" sqref="A2:A124" xr:uid="{E2DB9305-2035-4116-A4EB-AB54E33B85B0}">
      <formula1>"SIM,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0571-3DA4-442E-A820-557AEE8A2802}">
  <sheetPr codeName="Planilha7"/>
  <dimension ref="A1:T246"/>
  <sheetViews>
    <sheetView tabSelected="1" topLeftCell="O1" zoomScale="85" zoomScaleNormal="85" workbookViewId="0">
      <selection activeCell="T2" sqref="T2"/>
    </sheetView>
  </sheetViews>
  <sheetFormatPr defaultRowHeight="14.45"/>
  <cols>
    <col min="1" max="1" width="18.140625" bestFit="1" customWidth="1"/>
    <col min="2" max="2" width="20.28515625" bestFit="1" customWidth="1"/>
    <col min="3" max="3" width="13.85546875" bestFit="1" customWidth="1"/>
    <col min="4" max="4" width="46.140625" bestFit="1" customWidth="1"/>
    <col min="5" max="5" width="22.7109375" style="2" bestFit="1" customWidth="1"/>
    <col min="6" max="6" width="29.85546875" bestFit="1" customWidth="1"/>
    <col min="7" max="7" width="40.5703125" bestFit="1" customWidth="1"/>
    <col min="8" max="8" width="15.28515625" bestFit="1" customWidth="1"/>
    <col min="9" max="9" width="32.7109375" bestFit="1" customWidth="1"/>
    <col min="10" max="10" width="26.140625" bestFit="1" customWidth="1"/>
    <col min="11" max="11" width="15.5703125" bestFit="1" customWidth="1"/>
    <col min="12" max="12" width="24.42578125" bestFit="1" customWidth="1"/>
    <col min="13" max="13" width="18.28515625" bestFit="1" customWidth="1"/>
    <col min="14" max="14" width="15.140625" bestFit="1" customWidth="1"/>
    <col min="15" max="15" width="22.7109375" bestFit="1" customWidth="1"/>
    <col min="16" max="16" width="23.140625" bestFit="1" customWidth="1"/>
    <col min="17" max="17" width="36.85546875" bestFit="1" customWidth="1"/>
    <col min="18" max="18" width="41.85546875" bestFit="1" customWidth="1"/>
    <col min="19" max="19" width="11.28515625" bestFit="1" customWidth="1"/>
  </cols>
  <sheetData>
    <row r="1" spans="1:20" ht="14.25" customHeight="1">
      <c r="A1" s="130" t="s">
        <v>647</v>
      </c>
      <c r="B1" s="130" t="s">
        <v>648</v>
      </c>
      <c r="C1" s="130" t="s">
        <v>19</v>
      </c>
      <c r="D1" s="130" t="s">
        <v>649</v>
      </c>
      <c r="E1" s="130" t="s">
        <v>650</v>
      </c>
      <c r="F1" s="130" t="s">
        <v>651</v>
      </c>
      <c r="G1" s="130" t="s">
        <v>652</v>
      </c>
      <c r="H1" s="130" t="s">
        <v>653</v>
      </c>
      <c r="I1" s="130" t="s">
        <v>654</v>
      </c>
      <c r="J1" s="130" t="s">
        <v>655</v>
      </c>
      <c r="K1" s="130" t="s">
        <v>656</v>
      </c>
      <c r="L1" s="130" t="s">
        <v>657</v>
      </c>
      <c r="M1" s="131" t="s">
        <v>658</v>
      </c>
      <c r="N1" s="130" t="s">
        <v>659</v>
      </c>
      <c r="O1" s="130" t="s">
        <v>660</v>
      </c>
      <c r="P1" s="130" t="s">
        <v>661</v>
      </c>
      <c r="Q1" s="130" t="s">
        <v>662</v>
      </c>
      <c r="R1" s="130" t="s">
        <v>663</v>
      </c>
      <c r="S1" s="130" t="s">
        <v>664</v>
      </c>
      <c r="T1" s="130" t="s">
        <v>665</v>
      </c>
    </row>
    <row r="2" spans="1:20" ht="15">
      <c r="A2" s="132" t="s">
        <v>666</v>
      </c>
      <c r="B2" s="132" t="s">
        <v>667</v>
      </c>
      <c r="C2">
        <v>40277251</v>
      </c>
      <c r="D2" t="s">
        <v>241</v>
      </c>
      <c r="E2" t="s">
        <v>668</v>
      </c>
      <c r="F2">
        <v>5031</v>
      </c>
      <c r="G2" t="s">
        <v>669</v>
      </c>
      <c r="H2" s="2" t="s">
        <v>670</v>
      </c>
      <c r="I2" s="2">
        <v>20009</v>
      </c>
      <c r="J2" t="s">
        <v>671</v>
      </c>
      <c r="K2" t="s">
        <v>672</v>
      </c>
      <c r="L2" t="s">
        <v>673</v>
      </c>
      <c r="M2" s="132">
        <v>41792</v>
      </c>
      <c r="N2" t="s">
        <v>674</v>
      </c>
      <c r="O2" t="s">
        <v>675</v>
      </c>
      <c r="P2">
        <v>40172715</v>
      </c>
      <c r="Q2" t="s">
        <v>676</v>
      </c>
      <c r="R2" t="s">
        <v>677</v>
      </c>
      <c r="S2" t="s">
        <v>678</v>
      </c>
      <c r="T2" cm="1">
        <f t="array" aca="1" ref="T2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3" spans="1:20" ht="15">
      <c r="A3" s="132" t="s">
        <v>666</v>
      </c>
      <c r="B3" s="132" t="s">
        <v>667</v>
      </c>
      <c r="C3">
        <v>40213379</v>
      </c>
      <c r="D3" t="s">
        <v>601</v>
      </c>
      <c r="E3" t="s">
        <v>668</v>
      </c>
      <c r="F3">
        <v>5031</v>
      </c>
      <c r="G3" t="s">
        <v>669</v>
      </c>
      <c r="H3" s="2" t="s">
        <v>679</v>
      </c>
      <c r="I3" s="2">
        <v>20009</v>
      </c>
      <c r="J3" t="s">
        <v>671</v>
      </c>
      <c r="K3" t="s">
        <v>672</v>
      </c>
      <c r="L3" t="s">
        <v>673</v>
      </c>
      <c r="M3" s="132">
        <v>41372</v>
      </c>
      <c r="N3" t="s">
        <v>680</v>
      </c>
      <c r="O3" t="s">
        <v>675</v>
      </c>
      <c r="P3">
        <v>40172715</v>
      </c>
      <c r="Q3" t="s">
        <v>676</v>
      </c>
      <c r="R3" t="s">
        <v>681</v>
      </c>
      <c r="S3" t="s">
        <v>678</v>
      </c>
      <c r="T3" cm="1">
        <f t="array" aca="1" ref="T3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4" spans="1:20" ht="15">
      <c r="A4" s="132" t="s">
        <v>666</v>
      </c>
      <c r="B4" s="132" t="s">
        <v>667</v>
      </c>
      <c r="C4">
        <v>40285831</v>
      </c>
      <c r="D4" t="s">
        <v>227</v>
      </c>
      <c r="E4" t="s">
        <v>668</v>
      </c>
      <c r="F4">
        <v>5031</v>
      </c>
      <c r="G4" t="s">
        <v>669</v>
      </c>
      <c r="H4" s="2" t="s">
        <v>682</v>
      </c>
      <c r="I4" s="2">
        <v>20009</v>
      </c>
      <c r="J4" t="s">
        <v>671</v>
      </c>
      <c r="K4" t="s">
        <v>672</v>
      </c>
      <c r="L4" t="s">
        <v>673</v>
      </c>
      <c r="M4" s="132">
        <v>41925</v>
      </c>
      <c r="N4" t="s">
        <v>683</v>
      </c>
      <c r="O4" t="s">
        <v>675</v>
      </c>
      <c r="P4">
        <v>40172715</v>
      </c>
      <c r="Q4" t="s">
        <v>676</v>
      </c>
      <c r="R4" t="s">
        <v>684</v>
      </c>
      <c r="S4" t="s">
        <v>678</v>
      </c>
      <c r="T4" cm="1">
        <f t="array" aca="1" ref="T4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5" spans="1:20" ht="15">
      <c r="A5" s="132" t="s">
        <v>666</v>
      </c>
      <c r="B5" s="132" t="s">
        <v>667</v>
      </c>
      <c r="C5">
        <v>80310115</v>
      </c>
      <c r="D5" t="s">
        <v>505</v>
      </c>
      <c r="E5" t="s">
        <v>668</v>
      </c>
      <c r="F5">
        <v>5179</v>
      </c>
      <c r="G5" t="s">
        <v>685</v>
      </c>
      <c r="H5" s="2" t="s">
        <v>686</v>
      </c>
      <c r="I5" s="2">
        <v>20009</v>
      </c>
      <c r="J5" t="s">
        <v>671</v>
      </c>
      <c r="K5" t="s">
        <v>672</v>
      </c>
      <c r="L5" t="s">
        <v>673</v>
      </c>
      <c r="M5" s="132">
        <v>44214</v>
      </c>
      <c r="N5" t="s">
        <v>687</v>
      </c>
      <c r="O5" t="s">
        <v>675</v>
      </c>
      <c r="P5">
        <v>40172715</v>
      </c>
      <c r="Q5" t="s">
        <v>676</v>
      </c>
      <c r="R5" t="s">
        <v>688</v>
      </c>
      <c r="S5" t="s">
        <v>678</v>
      </c>
      <c r="T5" cm="1">
        <f t="array" aca="1" ref="T5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6" spans="1:20" ht="15">
      <c r="A6" s="132" t="s">
        <v>666</v>
      </c>
      <c r="B6" s="132" t="s">
        <v>667</v>
      </c>
      <c r="C6">
        <v>80851941</v>
      </c>
      <c r="D6" t="s">
        <v>222</v>
      </c>
      <c r="E6" t="s">
        <v>668</v>
      </c>
      <c r="F6">
        <v>5179</v>
      </c>
      <c r="G6" t="s">
        <v>685</v>
      </c>
      <c r="H6" s="2" t="s">
        <v>689</v>
      </c>
      <c r="I6" s="2">
        <v>20009</v>
      </c>
      <c r="J6" t="s">
        <v>671</v>
      </c>
      <c r="K6" t="s">
        <v>672</v>
      </c>
      <c r="L6" t="s">
        <v>673</v>
      </c>
      <c r="M6" s="132">
        <v>44382</v>
      </c>
      <c r="N6" t="s">
        <v>690</v>
      </c>
      <c r="O6" t="s">
        <v>675</v>
      </c>
      <c r="P6">
        <v>40172715</v>
      </c>
      <c r="Q6" t="s">
        <v>676</v>
      </c>
      <c r="R6" t="s">
        <v>691</v>
      </c>
      <c r="S6" t="s">
        <v>678</v>
      </c>
      <c r="T6" cm="1">
        <f t="array" aca="1" ref="T6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7" spans="1:20" ht="15">
      <c r="A7" s="132" t="s">
        <v>666</v>
      </c>
      <c r="B7" s="132" t="s">
        <v>667</v>
      </c>
      <c r="C7">
        <v>80873151</v>
      </c>
      <c r="D7" t="s">
        <v>443</v>
      </c>
      <c r="E7" t="s">
        <v>668</v>
      </c>
      <c r="F7">
        <v>5031</v>
      </c>
      <c r="G7" t="s">
        <v>669</v>
      </c>
      <c r="H7" s="2" t="s">
        <v>692</v>
      </c>
      <c r="I7" s="2">
        <v>20009</v>
      </c>
      <c r="J7" t="s">
        <v>671</v>
      </c>
      <c r="K7" t="s">
        <v>672</v>
      </c>
      <c r="L7" t="s">
        <v>673</v>
      </c>
      <c r="M7" s="132">
        <v>44459</v>
      </c>
      <c r="N7" t="s">
        <v>693</v>
      </c>
      <c r="O7" t="s">
        <v>675</v>
      </c>
      <c r="P7">
        <v>40172715</v>
      </c>
      <c r="Q7" t="s">
        <v>676</v>
      </c>
      <c r="R7" t="s">
        <v>694</v>
      </c>
      <c r="S7" t="s">
        <v>678</v>
      </c>
      <c r="T7" cm="1">
        <f t="array" aca="1" ref="T7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8" spans="1:20" ht="15">
      <c r="A8" s="132" t="s">
        <v>666</v>
      </c>
      <c r="B8" s="132" t="s">
        <v>667</v>
      </c>
      <c r="C8">
        <v>80997603</v>
      </c>
      <c r="D8" t="s">
        <v>148</v>
      </c>
      <c r="E8" t="s">
        <v>668</v>
      </c>
      <c r="F8">
        <v>5179</v>
      </c>
      <c r="G8" t="s">
        <v>685</v>
      </c>
      <c r="H8" s="2" t="s">
        <v>695</v>
      </c>
      <c r="I8" s="2">
        <v>20009</v>
      </c>
      <c r="J8" t="s">
        <v>671</v>
      </c>
      <c r="K8" t="s">
        <v>672</v>
      </c>
      <c r="L8" t="s">
        <v>673</v>
      </c>
      <c r="M8" s="132">
        <v>44872</v>
      </c>
      <c r="N8" t="s">
        <v>696</v>
      </c>
      <c r="O8" t="s">
        <v>675</v>
      </c>
      <c r="P8">
        <v>40172715</v>
      </c>
      <c r="Q8" t="s">
        <v>676</v>
      </c>
      <c r="R8" t="s">
        <v>697</v>
      </c>
      <c r="S8" t="s">
        <v>678</v>
      </c>
      <c r="T8" cm="1">
        <f t="array" aca="1" ref="T8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9" spans="1:20" ht="15">
      <c r="A9" s="132" t="s">
        <v>666</v>
      </c>
      <c r="B9" s="132" t="s">
        <v>667</v>
      </c>
      <c r="C9">
        <v>81168348</v>
      </c>
      <c r="D9" t="s">
        <v>486</v>
      </c>
      <c r="E9" t="s">
        <v>668</v>
      </c>
      <c r="F9">
        <v>5179</v>
      </c>
      <c r="G9" t="s">
        <v>685</v>
      </c>
      <c r="H9" s="2" t="s">
        <v>698</v>
      </c>
      <c r="I9" s="2">
        <v>20009</v>
      </c>
      <c r="J9" t="s">
        <v>671</v>
      </c>
      <c r="K9" t="s">
        <v>672</v>
      </c>
      <c r="L9" t="s">
        <v>673</v>
      </c>
      <c r="M9" s="132">
        <v>45509</v>
      </c>
      <c r="N9" t="s">
        <v>699</v>
      </c>
      <c r="O9" t="s">
        <v>675</v>
      </c>
      <c r="P9">
        <v>40172715</v>
      </c>
      <c r="Q9" t="s">
        <v>676</v>
      </c>
      <c r="R9" t="s">
        <v>700</v>
      </c>
      <c r="S9" t="s">
        <v>678</v>
      </c>
      <c r="T9" cm="1">
        <f t="array" aca="1" ref="T9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0" spans="1:20" ht="15">
      <c r="A10" s="132" t="s">
        <v>666</v>
      </c>
      <c r="B10" s="132" t="s">
        <v>667</v>
      </c>
      <c r="C10">
        <v>81252475</v>
      </c>
      <c r="D10" t="s">
        <v>701</v>
      </c>
      <c r="E10" t="s">
        <v>668</v>
      </c>
      <c r="F10">
        <v>5179</v>
      </c>
      <c r="G10" t="s">
        <v>685</v>
      </c>
      <c r="H10" s="2" t="s">
        <v>702</v>
      </c>
      <c r="I10" s="2">
        <v>20009</v>
      </c>
      <c r="J10" t="s">
        <v>671</v>
      </c>
      <c r="K10" t="s">
        <v>672</v>
      </c>
      <c r="L10" t="s">
        <v>673</v>
      </c>
      <c r="M10" s="132">
        <v>46034</v>
      </c>
      <c r="N10" t="s">
        <v>703</v>
      </c>
      <c r="O10" t="s">
        <v>704</v>
      </c>
      <c r="P10">
        <v>40172715</v>
      </c>
      <c r="Q10" t="s">
        <v>676</v>
      </c>
      <c r="R10" t="s">
        <v>705</v>
      </c>
      <c r="S10" t="s">
        <v>678</v>
      </c>
      <c r="T10" cm="1">
        <f t="array" aca="1" ref="T10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1" spans="1:20" ht="15">
      <c r="A11" s="132" t="s">
        <v>666</v>
      </c>
      <c r="B11" s="132" t="s">
        <v>667</v>
      </c>
      <c r="C11">
        <v>40285860</v>
      </c>
      <c r="D11" t="s">
        <v>50</v>
      </c>
      <c r="E11" t="s">
        <v>668</v>
      </c>
      <c r="F11">
        <v>5031</v>
      </c>
      <c r="G11" t="s">
        <v>669</v>
      </c>
      <c r="H11" s="2" t="s">
        <v>706</v>
      </c>
      <c r="I11" s="2">
        <v>20009</v>
      </c>
      <c r="J11" t="s">
        <v>671</v>
      </c>
      <c r="K11" t="s">
        <v>707</v>
      </c>
      <c r="L11" t="s">
        <v>708</v>
      </c>
      <c r="M11" s="132">
        <v>41925</v>
      </c>
      <c r="N11" t="s">
        <v>709</v>
      </c>
      <c r="O11" t="s">
        <v>710</v>
      </c>
      <c r="P11">
        <v>40172715</v>
      </c>
      <c r="Q11" t="s">
        <v>676</v>
      </c>
      <c r="R11" t="s">
        <v>711</v>
      </c>
      <c r="S11" t="s">
        <v>678</v>
      </c>
      <c r="T11" cm="1">
        <f t="array" aca="1" ref="T11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2" spans="1:20" ht="15">
      <c r="A12" s="132" t="s">
        <v>666</v>
      </c>
      <c r="B12" s="132" t="s">
        <v>667</v>
      </c>
      <c r="C12">
        <v>80084668</v>
      </c>
      <c r="D12" t="s">
        <v>582</v>
      </c>
      <c r="E12" t="s">
        <v>668</v>
      </c>
      <c r="F12">
        <v>5179</v>
      </c>
      <c r="G12" t="s">
        <v>685</v>
      </c>
      <c r="H12" s="2" t="s">
        <v>712</v>
      </c>
      <c r="I12" s="2">
        <v>20009</v>
      </c>
      <c r="J12" t="s">
        <v>671</v>
      </c>
      <c r="K12" t="s">
        <v>707</v>
      </c>
      <c r="L12" t="s">
        <v>708</v>
      </c>
      <c r="M12" s="132">
        <v>43024</v>
      </c>
      <c r="N12" t="s">
        <v>713</v>
      </c>
      <c r="O12" t="s">
        <v>675</v>
      </c>
      <c r="P12">
        <v>40172715</v>
      </c>
      <c r="Q12" t="s">
        <v>676</v>
      </c>
      <c r="R12" t="s">
        <v>714</v>
      </c>
      <c r="S12" t="s">
        <v>678</v>
      </c>
      <c r="T12" cm="1">
        <f t="array" aca="1" ref="T12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3" spans="1:20" ht="15">
      <c r="A13" s="132" t="s">
        <v>666</v>
      </c>
      <c r="B13" s="132" t="s">
        <v>667</v>
      </c>
      <c r="C13">
        <v>80851934</v>
      </c>
      <c r="D13" t="s">
        <v>464</v>
      </c>
      <c r="E13" t="s">
        <v>668</v>
      </c>
      <c r="F13">
        <v>5031</v>
      </c>
      <c r="G13" t="s">
        <v>669</v>
      </c>
      <c r="H13" s="2" t="s">
        <v>715</v>
      </c>
      <c r="I13" s="2">
        <v>20009</v>
      </c>
      <c r="J13" t="s">
        <v>671</v>
      </c>
      <c r="K13" t="s">
        <v>707</v>
      </c>
      <c r="L13" t="s">
        <v>708</v>
      </c>
      <c r="M13" s="132">
        <v>44382</v>
      </c>
      <c r="N13" t="s">
        <v>716</v>
      </c>
      <c r="O13" t="s">
        <v>675</v>
      </c>
      <c r="P13">
        <v>40172715</v>
      </c>
      <c r="Q13" t="s">
        <v>676</v>
      </c>
      <c r="R13" t="s">
        <v>717</v>
      </c>
      <c r="S13" t="s">
        <v>678</v>
      </c>
      <c r="T13" cm="1">
        <f t="array" aca="1" ref="T13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4" spans="1:20" ht="15">
      <c r="A14" s="132" t="s">
        <v>666</v>
      </c>
      <c r="B14" s="132" t="s">
        <v>667</v>
      </c>
      <c r="C14">
        <v>80979600</v>
      </c>
      <c r="D14" t="s">
        <v>536</v>
      </c>
      <c r="E14" t="s">
        <v>668</v>
      </c>
      <c r="F14">
        <v>5179</v>
      </c>
      <c r="G14" t="s">
        <v>685</v>
      </c>
      <c r="H14" s="2" t="s">
        <v>718</v>
      </c>
      <c r="I14" s="2">
        <v>20009</v>
      </c>
      <c r="J14" t="s">
        <v>671</v>
      </c>
      <c r="K14" t="s">
        <v>707</v>
      </c>
      <c r="L14" t="s">
        <v>708</v>
      </c>
      <c r="M14" s="132">
        <v>44816</v>
      </c>
      <c r="N14" t="s">
        <v>719</v>
      </c>
      <c r="O14" t="s">
        <v>675</v>
      </c>
      <c r="P14">
        <v>40172715</v>
      </c>
      <c r="Q14" t="s">
        <v>676</v>
      </c>
      <c r="R14" t="s">
        <v>720</v>
      </c>
      <c r="S14" t="s">
        <v>678</v>
      </c>
      <c r="T14" cm="1">
        <f t="array" aca="1" ref="T14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5" spans="1:20" ht="15">
      <c r="A15" s="132" t="s">
        <v>666</v>
      </c>
      <c r="B15" s="132" t="s">
        <v>667</v>
      </c>
      <c r="C15">
        <v>80997938</v>
      </c>
      <c r="D15" t="s">
        <v>231</v>
      </c>
      <c r="E15" t="s">
        <v>668</v>
      </c>
      <c r="F15">
        <v>5179</v>
      </c>
      <c r="G15" t="s">
        <v>685</v>
      </c>
      <c r="H15" s="2" t="s">
        <v>721</v>
      </c>
      <c r="I15" s="2">
        <v>20009</v>
      </c>
      <c r="J15" t="s">
        <v>671</v>
      </c>
      <c r="K15" t="s">
        <v>707</v>
      </c>
      <c r="L15" t="s">
        <v>708</v>
      </c>
      <c r="M15" s="132">
        <v>44872</v>
      </c>
      <c r="N15" t="s">
        <v>722</v>
      </c>
      <c r="O15" t="s">
        <v>675</v>
      </c>
      <c r="P15">
        <v>40172715</v>
      </c>
      <c r="Q15" t="s">
        <v>676</v>
      </c>
      <c r="R15" t="s">
        <v>723</v>
      </c>
      <c r="S15" t="s">
        <v>678</v>
      </c>
      <c r="T15" cm="1">
        <f t="array" aca="1" ref="T15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6" spans="1:20" ht="15">
      <c r="A16" s="132" t="s">
        <v>666</v>
      </c>
      <c r="B16" s="132" t="s">
        <v>667</v>
      </c>
      <c r="C16">
        <v>81004104</v>
      </c>
      <c r="D16" t="s">
        <v>397</v>
      </c>
      <c r="E16" t="s">
        <v>668</v>
      </c>
      <c r="F16">
        <v>5031</v>
      </c>
      <c r="G16" t="s">
        <v>669</v>
      </c>
      <c r="H16" s="2" t="s">
        <v>724</v>
      </c>
      <c r="I16" s="2">
        <v>20009</v>
      </c>
      <c r="J16" t="s">
        <v>671</v>
      </c>
      <c r="K16" t="s">
        <v>707</v>
      </c>
      <c r="L16" t="s">
        <v>708</v>
      </c>
      <c r="M16" s="132">
        <v>44900</v>
      </c>
      <c r="N16" t="s">
        <v>725</v>
      </c>
      <c r="O16" t="s">
        <v>675</v>
      </c>
      <c r="P16">
        <v>40172715</v>
      </c>
      <c r="Q16" t="s">
        <v>676</v>
      </c>
      <c r="R16" t="s">
        <v>726</v>
      </c>
      <c r="S16" t="s">
        <v>678</v>
      </c>
      <c r="T16" cm="1">
        <f t="array" aca="1" ref="T16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7" spans="1:20" ht="15">
      <c r="A17" s="132" t="s">
        <v>666</v>
      </c>
      <c r="B17" s="132" t="s">
        <v>667</v>
      </c>
      <c r="C17">
        <v>81174247</v>
      </c>
      <c r="D17" t="s">
        <v>541</v>
      </c>
      <c r="E17" t="s">
        <v>668</v>
      </c>
      <c r="F17">
        <v>5179</v>
      </c>
      <c r="G17" t="s">
        <v>685</v>
      </c>
      <c r="H17" s="2" t="s">
        <v>727</v>
      </c>
      <c r="I17" s="2">
        <v>20009</v>
      </c>
      <c r="J17" t="s">
        <v>671</v>
      </c>
      <c r="K17" t="s">
        <v>707</v>
      </c>
      <c r="L17" t="s">
        <v>708</v>
      </c>
      <c r="M17" s="132">
        <v>45537</v>
      </c>
      <c r="N17" t="s">
        <v>728</v>
      </c>
      <c r="O17" t="s">
        <v>675</v>
      </c>
      <c r="P17">
        <v>40172715</v>
      </c>
      <c r="Q17" t="s">
        <v>676</v>
      </c>
      <c r="R17" t="s">
        <v>729</v>
      </c>
      <c r="S17" t="s">
        <v>678</v>
      </c>
      <c r="T17" cm="1">
        <f t="array" aca="1" ref="T17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8" spans="1:20" ht="15">
      <c r="A18" s="132" t="s">
        <v>666</v>
      </c>
      <c r="B18" s="132" t="s">
        <v>667</v>
      </c>
      <c r="C18">
        <v>80014736</v>
      </c>
      <c r="D18" t="s">
        <v>378</v>
      </c>
      <c r="E18" t="s">
        <v>668</v>
      </c>
      <c r="F18">
        <v>5179</v>
      </c>
      <c r="G18" t="s">
        <v>685</v>
      </c>
      <c r="H18" s="2" t="s">
        <v>730</v>
      </c>
      <c r="I18" s="2">
        <v>20009</v>
      </c>
      <c r="J18" t="s">
        <v>671</v>
      </c>
      <c r="K18" t="s">
        <v>731</v>
      </c>
      <c r="L18" t="s">
        <v>732</v>
      </c>
      <c r="M18" s="132">
        <v>42464</v>
      </c>
      <c r="N18" t="s">
        <v>733</v>
      </c>
      <c r="O18" t="s">
        <v>675</v>
      </c>
      <c r="P18">
        <v>40172715</v>
      </c>
      <c r="Q18" t="s">
        <v>676</v>
      </c>
      <c r="R18" t="s">
        <v>734</v>
      </c>
      <c r="S18" t="s">
        <v>678</v>
      </c>
      <c r="T18" cm="1">
        <f t="array" aca="1" ref="T18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9" spans="1:20" ht="15">
      <c r="A19" s="132" t="s">
        <v>666</v>
      </c>
      <c r="B19" s="132" t="s">
        <v>667</v>
      </c>
      <c r="C19">
        <v>40192586</v>
      </c>
      <c r="D19" t="s">
        <v>41</v>
      </c>
      <c r="E19" t="s">
        <v>668</v>
      </c>
      <c r="F19">
        <v>5031</v>
      </c>
      <c r="G19" t="s">
        <v>669</v>
      </c>
      <c r="H19" s="2" t="s">
        <v>735</v>
      </c>
      <c r="I19" s="2">
        <v>20009</v>
      </c>
      <c r="J19" t="s">
        <v>671</v>
      </c>
      <c r="K19" t="s">
        <v>731</v>
      </c>
      <c r="L19" t="s">
        <v>732</v>
      </c>
      <c r="M19" s="132">
        <v>41102</v>
      </c>
      <c r="N19" t="s">
        <v>736</v>
      </c>
      <c r="O19" t="s">
        <v>675</v>
      </c>
      <c r="P19">
        <v>40172715</v>
      </c>
      <c r="Q19" t="s">
        <v>676</v>
      </c>
      <c r="R19" t="s">
        <v>737</v>
      </c>
      <c r="S19" t="s">
        <v>678</v>
      </c>
      <c r="T19" cm="1">
        <f t="array" aca="1" ref="T19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20" spans="1:20" ht="15">
      <c r="A20" s="132" t="s">
        <v>666</v>
      </c>
      <c r="B20" s="132" t="s">
        <v>667</v>
      </c>
      <c r="C20">
        <v>40185033</v>
      </c>
      <c r="D20" t="s">
        <v>738</v>
      </c>
      <c r="E20" t="s">
        <v>668</v>
      </c>
      <c r="F20">
        <v>5179</v>
      </c>
      <c r="G20" t="s">
        <v>685</v>
      </c>
      <c r="H20" s="2" t="s">
        <v>739</v>
      </c>
      <c r="I20" s="2">
        <v>20009</v>
      </c>
      <c r="J20" t="s">
        <v>671</v>
      </c>
      <c r="K20" t="s">
        <v>731</v>
      </c>
      <c r="L20" t="s">
        <v>732</v>
      </c>
      <c r="M20" s="132">
        <v>40924</v>
      </c>
      <c r="N20" t="s">
        <v>740</v>
      </c>
      <c r="O20" t="s">
        <v>704</v>
      </c>
      <c r="P20">
        <v>40172715</v>
      </c>
      <c r="Q20" t="s">
        <v>676</v>
      </c>
      <c r="R20" t="s">
        <v>741</v>
      </c>
      <c r="S20" t="s">
        <v>742</v>
      </c>
      <c r="T20" cm="1">
        <f t="array" aca="1" ref="T20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21" spans="1:20" ht="15">
      <c r="A21" s="132" t="s">
        <v>666</v>
      </c>
      <c r="B21" s="132" t="s">
        <v>667</v>
      </c>
      <c r="C21">
        <v>80015716</v>
      </c>
      <c r="D21" t="s">
        <v>551</v>
      </c>
      <c r="E21" t="s">
        <v>668</v>
      </c>
      <c r="F21">
        <v>5031</v>
      </c>
      <c r="G21" t="s">
        <v>669</v>
      </c>
      <c r="H21" s="2" t="s">
        <v>743</v>
      </c>
      <c r="I21" s="2">
        <v>20009</v>
      </c>
      <c r="J21" t="s">
        <v>671</v>
      </c>
      <c r="K21" t="s">
        <v>731</v>
      </c>
      <c r="L21" t="s">
        <v>732</v>
      </c>
      <c r="M21" s="132">
        <v>42471</v>
      </c>
      <c r="N21" t="s">
        <v>744</v>
      </c>
      <c r="O21" t="s">
        <v>675</v>
      </c>
      <c r="P21">
        <v>40172715</v>
      </c>
      <c r="Q21" t="s">
        <v>676</v>
      </c>
      <c r="R21" t="s">
        <v>745</v>
      </c>
      <c r="S21" t="s">
        <v>678</v>
      </c>
      <c r="T21" cm="1">
        <f t="array" aca="1" ref="T21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22" spans="1:20" ht="15">
      <c r="A22" s="132" t="s">
        <v>666</v>
      </c>
      <c r="B22" s="132" t="s">
        <v>667</v>
      </c>
      <c r="C22">
        <v>40216122</v>
      </c>
      <c r="D22" t="s">
        <v>746</v>
      </c>
      <c r="E22" t="s">
        <v>668</v>
      </c>
      <c r="F22">
        <v>5179</v>
      </c>
      <c r="G22" t="s">
        <v>685</v>
      </c>
      <c r="H22" s="2" t="s">
        <v>747</v>
      </c>
      <c r="I22" s="2">
        <v>20009</v>
      </c>
      <c r="J22" t="s">
        <v>671</v>
      </c>
      <c r="K22" t="s">
        <v>731</v>
      </c>
      <c r="L22" t="s">
        <v>732</v>
      </c>
      <c r="M22" s="132">
        <v>41435</v>
      </c>
      <c r="N22" t="s">
        <v>748</v>
      </c>
      <c r="O22" t="s">
        <v>704</v>
      </c>
      <c r="P22">
        <v>40172715</v>
      </c>
      <c r="Q22" t="s">
        <v>676</v>
      </c>
      <c r="R22" t="s">
        <v>749</v>
      </c>
      <c r="S22" t="s">
        <v>742</v>
      </c>
      <c r="T22" cm="1">
        <f t="array" aca="1" ref="T22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23" spans="1:20" ht="15">
      <c r="A23" s="132" t="s">
        <v>666</v>
      </c>
      <c r="B23" s="132" t="s">
        <v>667</v>
      </c>
      <c r="C23">
        <v>80069277</v>
      </c>
      <c r="D23" t="s">
        <v>78</v>
      </c>
      <c r="E23" t="s">
        <v>668</v>
      </c>
      <c r="F23">
        <v>5179</v>
      </c>
      <c r="G23" t="s">
        <v>685</v>
      </c>
      <c r="H23" s="2" t="s">
        <v>750</v>
      </c>
      <c r="I23" s="2">
        <v>20009</v>
      </c>
      <c r="J23" t="s">
        <v>671</v>
      </c>
      <c r="K23" t="s">
        <v>731</v>
      </c>
      <c r="L23" t="s">
        <v>732</v>
      </c>
      <c r="M23" s="132">
        <v>42933</v>
      </c>
      <c r="N23" t="s">
        <v>751</v>
      </c>
      <c r="O23" t="s">
        <v>675</v>
      </c>
      <c r="P23">
        <v>40172715</v>
      </c>
      <c r="Q23" t="s">
        <v>676</v>
      </c>
      <c r="R23" t="s">
        <v>752</v>
      </c>
      <c r="S23" t="s">
        <v>678</v>
      </c>
      <c r="T23" cm="1">
        <f t="array" aca="1" ref="T23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24" spans="1:20" ht="15">
      <c r="A24" s="132" t="s">
        <v>666</v>
      </c>
      <c r="B24" s="132" t="s">
        <v>667</v>
      </c>
      <c r="C24">
        <v>40175823</v>
      </c>
      <c r="D24" t="s">
        <v>217</v>
      </c>
      <c r="E24" t="s">
        <v>668</v>
      </c>
      <c r="F24">
        <v>5031</v>
      </c>
      <c r="G24" t="s">
        <v>669</v>
      </c>
      <c r="H24" s="2" t="s">
        <v>753</v>
      </c>
      <c r="I24" s="2">
        <v>20009</v>
      </c>
      <c r="J24" t="s">
        <v>671</v>
      </c>
      <c r="K24" t="s">
        <v>731</v>
      </c>
      <c r="L24" t="s">
        <v>732</v>
      </c>
      <c r="M24" s="132">
        <v>40756</v>
      </c>
      <c r="N24" t="s">
        <v>754</v>
      </c>
      <c r="O24" t="s">
        <v>704</v>
      </c>
      <c r="P24">
        <v>40172715</v>
      </c>
      <c r="Q24" t="s">
        <v>676</v>
      </c>
      <c r="R24" t="s">
        <v>755</v>
      </c>
      <c r="S24" t="s">
        <v>678</v>
      </c>
      <c r="T24" cm="1">
        <f t="array" aca="1" ref="T24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25" spans="1:20" ht="15">
      <c r="A25" s="132" t="s">
        <v>666</v>
      </c>
      <c r="B25" s="132" t="s">
        <v>667</v>
      </c>
      <c r="C25">
        <v>80315521</v>
      </c>
      <c r="D25" t="s">
        <v>71</v>
      </c>
      <c r="E25" t="s">
        <v>668</v>
      </c>
      <c r="F25">
        <v>5414</v>
      </c>
      <c r="G25" t="s">
        <v>756</v>
      </c>
      <c r="H25" s="2" t="s">
        <v>757</v>
      </c>
      <c r="I25" s="2">
        <v>20009</v>
      </c>
      <c r="J25" t="s">
        <v>671</v>
      </c>
      <c r="K25" t="s">
        <v>731</v>
      </c>
      <c r="L25" t="s">
        <v>732</v>
      </c>
      <c r="M25" s="132">
        <v>44242</v>
      </c>
      <c r="N25" t="s">
        <v>758</v>
      </c>
      <c r="O25" t="s">
        <v>759</v>
      </c>
      <c r="P25">
        <v>40172715</v>
      </c>
      <c r="Q25" t="s">
        <v>676</v>
      </c>
      <c r="R25" t="s">
        <v>760</v>
      </c>
      <c r="S25" t="s">
        <v>678</v>
      </c>
      <c r="T25" cm="1">
        <f t="array" aca="1" ref="T25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26" spans="1:20" ht="15">
      <c r="A26" s="132" t="s">
        <v>666</v>
      </c>
      <c r="B26" s="132" t="s">
        <v>667</v>
      </c>
      <c r="C26">
        <v>80851528</v>
      </c>
      <c r="D26" t="s">
        <v>517</v>
      </c>
      <c r="E26" t="s">
        <v>668</v>
      </c>
      <c r="F26">
        <v>5179</v>
      </c>
      <c r="G26" t="s">
        <v>685</v>
      </c>
      <c r="H26" s="2" t="s">
        <v>761</v>
      </c>
      <c r="I26" s="2">
        <v>20009</v>
      </c>
      <c r="J26" t="s">
        <v>671</v>
      </c>
      <c r="K26" t="s">
        <v>731</v>
      </c>
      <c r="L26" t="s">
        <v>732</v>
      </c>
      <c r="M26" s="132">
        <v>44382</v>
      </c>
      <c r="N26" t="s">
        <v>762</v>
      </c>
      <c r="O26" t="s">
        <v>704</v>
      </c>
      <c r="P26">
        <v>40172715</v>
      </c>
      <c r="Q26" t="s">
        <v>676</v>
      </c>
      <c r="R26" t="s">
        <v>763</v>
      </c>
      <c r="S26" t="s">
        <v>678</v>
      </c>
      <c r="T26" cm="1">
        <f t="array" aca="1" ref="T26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27" spans="1:20" ht="15">
      <c r="A27" s="132" t="s">
        <v>666</v>
      </c>
      <c r="B27" s="132" t="s">
        <v>667</v>
      </c>
      <c r="C27">
        <v>80888181</v>
      </c>
      <c r="D27" t="s">
        <v>196</v>
      </c>
      <c r="E27" t="s">
        <v>668</v>
      </c>
      <c r="F27">
        <v>5179</v>
      </c>
      <c r="G27" t="s">
        <v>685</v>
      </c>
      <c r="H27" s="2" t="s">
        <v>764</v>
      </c>
      <c r="I27" s="2">
        <v>20009</v>
      </c>
      <c r="J27" t="s">
        <v>671</v>
      </c>
      <c r="K27" t="s">
        <v>731</v>
      </c>
      <c r="L27" t="s">
        <v>732</v>
      </c>
      <c r="M27" s="132">
        <v>44516</v>
      </c>
      <c r="N27" t="s">
        <v>765</v>
      </c>
      <c r="O27" t="s">
        <v>704</v>
      </c>
      <c r="P27">
        <v>40172715</v>
      </c>
      <c r="Q27" t="s">
        <v>676</v>
      </c>
      <c r="R27" t="s">
        <v>766</v>
      </c>
      <c r="S27" t="s">
        <v>678</v>
      </c>
      <c r="T27" cm="1">
        <f t="array" aca="1" ref="T27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28" spans="1:20" ht="15">
      <c r="A28" s="132" t="s">
        <v>666</v>
      </c>
      <c r="B28" s="132" t="s">
        <v>667</v>
      </c>
      <c r="C28">
        <v>80981334</v>
      </c>
      <c r="D28" t="s">
        <v>370</v>
      </c>
      <c r="E28" t="s">
        <v>668</v>
      </c>
      <c r="F28">
        <v>5179</v>
      </c>
      <c r="G28" t="s">
        <v>685</v>
      </c>
      <c r="H28" s="2" t="s">
        <v>767</v>
      </c>
      <c r="I28" s="2">
        <v>20009</v>
      </c>
      <c r="J28" t="s">
        <v>671</v>
      </c>
      <c r="K28" t="s">
        <v>731</v>
      </c>
      <c r="L28" t="s">
        <v>732</v>
      </c>
      <c r="M28" s="132">
        <v>44823</v>
      </c>
      <c r="N28" t="s">
        <v>768</v>
      </c>
      <c r="O28" t="s">
        <v>675</v>
      </c>
      <c r="P28">
        <v>40172715</v>
      </c>
      <c r="Q28" t="s">
        <v>676</v>
      </c>
      <c r="R28" t="s">
        <v>769</v>
      </c>
      <c r="S28" t="s">
        <v>678</v>
      </c>
      <c r="T28" cm="1">
        <f t="array" aca="1" ref="T28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29" spans="1:20" ht="15">
      <c r="A29" s="132" t="s">
        <v>666</v>
      </c>
      <c r="B29" s="132" t="s">
        <v>667</v>
      </c>
      <c r="C29">
        <v>81033486</v>
      </c>
      <c r="D29" t="s">
        <v>459</v>
      </c>
      <c r="E29" t="s">
        <v>668</v>
      </c>
      <c r="F29">
        <v>5031</v>
      </c>
      <c r="G29" t="s">
        <v>669</v>
      </c>
      <c r="H29" s="2" t="s">
        <v>770</v>
      </c>
      <c r="I29" s="2">
        <v>20009</v>
      </c>
      <c r="J29" t="s">
        <v>671</v>
      </c>
      <c r="K29" t="s">
        <v>731</v>
      </c>
      <c r="L29" t="s">
        <v>732</v>
      </c>
      <c r="M29" s="132">
        <v>45019</v>
      </c>
      <c r="N29" t="s">
        <v>771</v>
      </c>
      <c r="O29" t="s">
        <v>772</v>
      </c>
      <c r="P29">
        <v>40172715</v>
      </c>
      <c r="Q29" t="s">
        <v>676</v>
      </c>
      <c r="R29" t="s">
        <v>773</v>
      </c>
      <c r="S29" t="s">
        <v>678</v>
      </c>
      <c r="T29" cm="1">
        <f t="array" aca="1" ref="T29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30" spans="1:20" ht="15">
      <c r="A30" s="132" t="s">
        <v>666</v>
      </c>
      <c r="B30" s="132" t="s">
        <v>667</v>
      </c>
      <c r="C30">
        <v>81050388</v>
      </c>
      <c r="D30" t="s">
        <v>494</v>
      </c>
      <c r="E30" t="s">
        <v>668</v>
      </c>
      <c r="F30">
        <v>5179</v>
      </c>
      <c r="G30" t="s">
        <v>685</v>
      </c>
      <c r="H30" s="2" t="s">
        <v>774</v>
      </c>
      <c r="I30" s="2">
        <v>20009</v>
      </c>
      <c r="J30" t="s">
        <v>671</v>
      </c>
      <c r="K30" t="s">
        <v>731</v>
      </c>
      <c r="L30" t="s">
        <v>732</v>
      </c>
      <c r="M30" s="132">
        <v>45082</v>
      </c>
      <c r="N30" t="s">
        <v>775</v>
      </c>
      <c r="O30" t="s">
        <v>704</v>
      </c>
      <c r="P30">
        <v>40172715</v>
      </c>
      <c r="Q30" t="s">
        <v>676</v>
      </c>
      <c r="R30" t="s">
        <v>776</v>
      </c>
      <c r="S30" t="s">
        <v>678</v>
      </c>
      <c r="T30" cm="1">
        <f t="array" aca="1" ref="T30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31" spans="1:20" ht="15">
      <c r="A31" s="132" t="s">
        <v>666</v>
      </c>
      <c r="B31" s="132" t="s">
        <v>667</v>
      </c>
      <c r="C31">
        <v>81051051</v>
      </c>
      <c r="D31" t="s">
        <v>426</v>
      </c>
      <c r="E31" t="s">
        <v>668</v>
      </c>
      <c r="F31">
        <v>5031</v>
      </c>
      <c r="G31" t="s">
        <v>669</v>
      </c>
      <c r="H31" s="2" t="s">
        <v>777</v>
      </c>
      <c r="I31" s="2">
        <v>20009</v>
      </c>
      <c r="J31" t="s">
        <v>671</v>
      </c>
      <c r="K31" t="s">
        <v>731</v>
      </c>
      <c r="L31" t="s">
        <v>732</v>
      </c>
      <c r="M31" s="132">
        <v>45082</v>
      </c>
      <c r="N31" t="s">
        <v>778</v>
      </c>
      <c r="O31" t="s">
        <v>675</v>
      </c>
      <c r="P31">
        <v>40172715</v>
      </c>
      <c r="Q31" t="s">
        <v>676</v>
      </c>
      <c r="R31" t="s">
        <v>779</v>
      </c>
      <c r="S31" t="s">
        <v>678</v>
      </c>
      <c r="T31" cm="1">
        <f t="array" aca="1" ref="T31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32" spans="1:20" ht="15">
      <c r="A32" s="132" t="s">
        <v>666</v>
      </c>
      <c r="B32" s="132" t="s">
        <v>667</v>
      </c>
      <c r="C32">
        <v>81069369</v>
      </c>
      <c r="D32" t="s">
        <v>166</v>
      </c>
      <c r="E32" t="s">
        <v>668</v>
      </c>
      <c r="F32">
        <v>5179</v>
      </c>
      <c r="G32" t="s">
        <v>685</v>
      </c>
      <c r="H32" s="2" t="s">
        <v>780</v>
      </c>
      <c r="I32" s="2">
        <v>20009</v>
      </c>
      <c r="J32" t="s">
        <v>671</v>
      </c>
      <c r="K32" t="s">
        <v>731</v>
      </c>
      <c r="L32" t="s">
        <v>732</v>
      </c>
      <c r="M32" s="132">
        <v>45152</v>
      </c>
      <c r="N32" t="s">
        <v>683</v>
      </c>
      <c r="O32" t="s">
        <v>772</v>
      </c>
      <c r="P32">
        <v>40172715</v>
      </c>
      <c r="Q32" t="s">
        <v>676</v>
      </c>
      <c r="R32" t="s">
        <v>781</v>
      </c>
      <c r="S32" t="s">
        <v>678</v>
      </c>
      <c r="T32" cm="1">
        <f t="array" aca="1" ref="T32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33" spans="1:20" ht="15">
      <c r="A33" s="132" t="s">
        <v>666</v>
      </c>
      <c r="B33" s="132" t="s">
        <v>667</v>
      </c>
      <c r="C33">
        <v>81081518</v>
      </c>
      <c r="D33" t="s">
        <v>526</v>
      </c>
      <c r="E33" t="s">
        <v>668</v>
      </c>
      <c r="F33">
        <v>5179</v>
      </c>
      <c r="G33" t="s">
        <v>685</v>
      </c>
      <c r="H33" s="2" t="s">
        <v>782</v>
      </c>
      <c r="I33" s="2">
        <v>20009</v>
      </c>
      <c r="J33" t="s">
        <v>671</v>
      </c>
      <c r="K33" t="s">
        <v>731</v>
      </c>
      <c r="L33" t="s">
        <v>732</v>
      </c>
      <c r="M33" s="132">
        <v>45201</v>
      </c>
      <c r="N33" t="s">
        <v>783</v>
      </c>
      <c r="O33" t="s">
        <v>704</v>
      </c>
      <c r="P33">
        <v>40172715</v>
      </c>
      <c r="Q33" t="s">
        <v>676</v>
      </c>
      <c r="R33" t="s">
        <v>784</v>
      </c>
      <c r="S33" t="s">
        <v>678</v>
      </c>
      <c r="T33" cm="1">
        <f t="array" aca="1" ref="T33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34" spans="1:20" ht="15">
      <c r="A34" s="132" t="s">
        <v>666</v>
      </c>
      <c r="B34" s="132" t="s">
        <v>667</v>
      </c>
      <c r="C34">
        <v>40216111</v>
      </c>
      <c r="D34" t="s">
        <v>160</v>
      </c>
      <c r="E34" t="s">
        <v>668</v>
      </c>
      <c r="F34">
        <v>5179</v>
      </c>
      <c r="G34" t="s">
        <v>685</v>
      </c>
      <c r="H34" s="2" t="s">
        <v>785</v>
      </c>
      <c r="I34" s="2">
        <v>20009</v>
      </c>
      <c r="J34" t="s">
        <v>671</v>
      </c>
      <c r="K34" t="s">
        <v>637</v>
      </c>
      <c r="L34" t="s">
        <v>786</v>
      </c>
      <c r="M34" s="132">
        <v>41435</v>
      </c>
      <c r="N34" t="s">
        <v>787</v>
      </c>
      <c r="O34" t="s">
        <v>675</v>
      </c>
      <c r="P34">
        <v>40172715</v>
      </c>
      <c r="Q34" t="s">
        <v>676</v>
      </c>
      <c r="R34" t="s">
        <v>788</v>
      </c>
      <c r="S34" t="s">
        <v>678</v>
      </c>
      <c r="T34" cm="1">
        <f t="array" aca="1" ref="T34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35" spans="1:20" ht="15">
      <c r="A35" s="132" t="s">
        <v>666</v>
      </c>
      <c r="B35" s="132" t="s">
        <v>667</v>
      </c>
      <c r="C35">
        <v>80069273</v>
      </c>
      <c r="D35" t="s">
        <v>110</v>
      </c>
      <c r="E35" t="s">
        <v>668</v>
      </c>
      <c r="F35">
        <v>5179</v>
      </c>
      <c r="G35" t="s">
        <v>685</v>
      </c>
      <c r="H35" s="2" t="s">
        <v>789</v>
      </c>
      <c r="I35" s="2">
        <v>20009</v>
      </c>
      <c r="J35" t="s">
        <v>671</v>
      </c>
      <c r="K35" t="s">
        <v>637</v>
      </c>
      <c r="L35" t="s">
        <v>786</v>
      </c>
      <c r="M35" s="132">
        <v>42933</v>
      </c>
      <c r="N35" t="s">
        <v>790</v>
      </c>
      <c r="O35" t="s">
        <v>704</v>
      </c>
      <c r="P35">
        <v>40172715</v>
      </c>
      <c r="Q35" t="s">
        <v>676</v>
      </c>
      <c r="R35" t="s">
        <v>791</v>
      </c>
      <c r="S35" t="s">
        <v>678</v>
      </c>
      <c r="T35" cm="1">
        <f t="array" aca="1" ref="T35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36" spans="1:20" ht="15">
      <c r="A36" s="132" t="s">
        <v>666</v>
      </c>
      <c r="B36" s="132" t="s">
        <v>667</v>
      </c>
      <c r="C36">
        <v>80007224</v>
      </c>
      <c r="D36" t="s">
        <v>596</v>
      </c>
      <c r="E36" t="s">
        <v>668</v>
      </c>
      <c r="F36">
        <v>5031</v>
      </c>
      <c r="G36" t="s">
        <v>669</v>
      </c>
      <c r="H36" s="2" t="s">
        <v>792</v>
      </c>
      <c r="I36" s="2">
        <v>20009</v>
      </c>
      <c r="J36" t="s">
        <v>671</v>
      </c>
      <c r="K36" t="s">
        <v>637</v>
      </c>
      <c r="L36" t="s">
        <v>786</v>
      </c>
      <c r="M36" s="132">
        <v>42255</v>
      </c>
      <c r="N36" t="s">
        <v>793</v>
      </c>
      <c r="O36" t="s">
        <v>704</v>
      </c>
      <c r="P36">
        <v>40172715</v>
      </c>
      <c r="Q36" t="s">
        <v>676</v>
      </c>
      <c r="R36" t="s">
        <v>794</v>
      </c>
      <c r="S36" t="s">
        <v>678</v>
      </c>
      <c r="T36" cm="1">
        <f t="array" aca="1" ref="T36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37" spans="1:20" ht="15">
      <c r="A37" s="132" t="s">
        <v>666</v>
      </c>
      <c r="B37" s="132" t="s">
        <v>667</v>
      </c>
      <c r="C37">
        <v>40201681</v>
      </c>
      <c r="D37" t="s">
        <v>469</v>
      </c>
      <c r="E37" t="s">
        <v>668</v>
      </c>
      <c r="F37">
        <v>5031</v>
      </c>
      <c r="G37" t="s">
        <v>669</v>
      </c>
      <c r="H37" s="2" t="s">
        <v>795</v>
      </c>
      <c r="I37" s="2">
        <v>20009</v>
      </c>
      <c r="J37" t="s">
        <v>671</v>
      </c>
      <c r="K37" t="s">
        <v>637</v>
      </c>
      <c r="L37" t="s">
        <v>786</v>
      </c>
      <c r="M37" s="132">
        <v>41157</v>
      </c>
      <c r="N37" t="s">
        <v>796</v>
      </c>
      <c r="O37" t="s">
        <v>772</v>
      </c>
      <c r="P37">
        <v>40172715</v>
      </c>
      <c r="Q37" t="s">
        <v>676</v>
      </c>
      <c r="R37" t="s">
        <v>797</v>
      </c>
      <c r="S37" t="s">
        <v>678</v>
      </c>
      <c r="T37" cm="1">
        <f t="array" aca="1" ref="T37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38" spans="1:20" ht="15">
      <c r="A38" s="132" t="s">
        <v>666</v>
      </c>
      <c r="B38" s="132" t="s">
        <v>667</v>
      </c>
      <c r="C38">
        <v>40296986</v>
      </c>
      <c r="D38" t="s">
        <v>349</v>
      </c>
      <c r="E38" t="s">
        <v>668</v>
      </c>
      <c r="F38">
        <v>5031</v>
      </c>
      <c r="G38" t="s">
        <v>669</v>
      </c>
      <c r="H38" s="2" t="s">
        <v>798</v>
      </c>
      <c r="I38" s="2">
        <v>20009</v>
      </c>
      <c r="J38" t="s">
        <v>671</v>
      </c>
      <c r="K38" t="s">
        <v>637</v>
      </c>
      <c r="L38" t="s">
        <v>786</v>
      </c>
      <c r="M38" s="132">
        <v>42142</v>
      </c>
      <c r="N38" t="s">
        <v>799</v>
      </c>
      <c r="O38" t="s">
        <v>675</v>
      </c>
      <c r="P38">
        <v>40172715</v>
      </c>
      <c r="Q38" t="s">
        <v>676</v>
      </c>
      <c r="R38" t="s">
        <v>800</v>
      </c>
      <c r="S38" t="s">
        <v>678</v>
      </c>
      <c r="T38" cm="1">
        <f t="array" aca="1" ref="T38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39" spans="1:20" ht="15">
      <c r="A39" s="132" t="s">
        <v>666</v>
      </c>
      <c r="B39" s="132" t="s">
        <v>667</v>
      </c>
      <c r="C39">
        <v>40297022</v>
      </c>
      <c r="D39" t="s">
        <v>247</v>
      </c>
      <c r="E39" t="s">
        <v>668</v>
      </c>
      <c r="F39">
        <v>5179</v>
      </c>
      <c r="G39" t="s">
        <v>685</v>
      </c>
      <c r="H39" s="2" t="s">
        <v>801</v>
      </c>
      <c r="I39" s="2">
        <v>20009</v>
      </c>
      <c r="J39" t="s">
        <v>671</v>
      </c>
      <c r="K39" t="s">
        <v>637</v>
      </c>
      <c r="L39" t="s">
        <v>786</v>
      </c>
      <c r="M39" s="132">
        <v>42142</v>
      </c>
      <c r="N39" t="s">
        <v>802</v>
      </c>
      <c r="O39" t="s">
        <v>675</v>
      </c>
      <c r="P39">
        <v>40172715</v>
      </c>
      <c r="Q39" t="s">
        <v>676</v>
      </c>
      <c r="R39" t="s">
        <v>803</v>
      </c>
      <c r="S39" t="s">
        <v>678</v>
      </c>
      <c r="T39" cm="1">
        <f t="array" aca="1" ref="T39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40" spans="1:20" ht="15">
      <c r="A40" s="132" t="s">
        <v>666</v>
      </c>
      <c r="B40" s="132" t="s">
        <v>667</v>
      </c>
      <c r="C40">
        <v>40205767</v>
      </c>
      <c r="D40" t="s">
        <v>65</v>
      </c>
      <c r="E40" t="s">
        <v>668</v>
      </c>
      <c r="F40">
        <v>5031</v>
      </c>
      <c r="G40" t="s">
        <v>669</v>
      </c>
      <c r="H40" s="2" t="s">
        <v>804</v>
      </c>
      <c r="I40" s="2">
        <v>20009</v>
      </c>
      <c r="J40" t="s">
        <v>671</v>
      </c>
      <c r="K40" t="s">
        <v>637</v>
      </c>
      <c r="L40" t="s">
        <v>786</v>
      </c>
      <c r="M40" s="132">
        <v>41220</v>
      </c>
      <c r="N40" t="s">
        <v>805</v>
      </c>
      <c r="O40" t="s">
        <v>772</v>
      </c>
      <c r="P40">
        <v>40172715</v>
      </c>
      <c r="Q40" t="s">
        <v>676</v>
      </c>
      <c r="R40" t="s">
        <v>806</v>
      </c>
      <c r="S40" t="s">
        <v>678</v>
      </c>
      <c r="T40" cm="1">
        <f t="array" aca="1" ref="T40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41" spans="1:20" ht="15">
      <c r="A41" s="132" t="s">
        <v>666</v>
      </c>
      <c r="B41" s="132" t="s">
        <v>667</v>
      </c>
      <c r="C41">
        <v>40192612</v>
      </c>
      <c r="D41" t="s">
        <v>807</v>
      </c>
      <c r="E41" t="s">
        <v>668</v>
      </c>
      <c r="F41">
        <v>5031</v>
      </c>
      <c r="G41" t="s">
        <v>669</v>
      </c>
      <c r="H41" s="2" t="s">
        <v>808</v>
      </c>
      <c r="I41" s="2">
        <v>20009</v>
      </c>
      <c r="J41" t="s">
        <v>671</v>
      </c>
      <c r="K41" t="s">
        <v>637</v>
      </c>
      <c r="L41" t="s">
        <v>786</v>
      </c>
      <c r="M41" s="132">
        <v>41102</v>
      </c>
      <c r="N41" t="s">
        <v>809</v>
      </c>
      <c r="O41" t="s">
        <v>675</v>
      </c>
      <c r="P41">
        <v>40172715</v>
      </c>
      <c r="Q41" t="s">
        <v>676</v>
      </c>
      <c r="R41" t="s">
        <v>810</v>
      </c>
      <c r="S41" t="s">
        <v>742</v>
      </c>
      <c r="T41" cm="1">
        <f t="array" aca="1" ref="T41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42" spans="1:20" ht="15">
      <c r="A42" s="132" t="s">
        <v>666</v>
      </c>
      <c r="B42" s="132" t="s">
        <v>667</v>
      </c>
      <c r="C42">
        <v>80007689</v>
      </c>
      <c r="D42" t="s">
        <v>577</v>
      </c>
      <c r="E42" t="s">
        <v>668</v>
      </c>
      <c r="F42">
        <v>5179</v>
      </c>
      <c r="G42" t="s">
        <v>685</v>
      </c>
      <c r="H42" s="2" t="s">
        <v>811</v>
      </c>
      <c r="I42" s="2">
        <v>20009</v>
      </c>
      <c r="J42" t="s">
        <v>671</v>
      </c>
      <c r="K42" t="s">
        <v>637</v>
      </c>
      <c r="L42" t="s">
        <v>786</v>
      </c>
      <c r="M42" s="132">
        <v>42268</v>
      </c>
      <c r="N42" t="s">
        <v>812</v>
      </c>
      <c r="O42" t="s">
        <v>704</v>
      </c>
      <c r="P42">
        <v>40172715</v>
      </c>
      <c r="Q42" t="s">
        <v>676</v>
      </c>
      <c r="R42" t="s">
        <v>813</v>
      </c>
      <c r="S42" t="s">
        <v>742</v>
      </c>
      <c r="T42" cm="1">
        <f t="array" aca="1" ref="T42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43" spans="1:20" ht="15">
      <c r="A43" s="132" t="s">
        <v>666</v>
      </c>
      <c r="B43" s="132" t="s">
        <v>667</v>
      </c>
      <c r="C43">
        <v>40216296</v>
      </c>
      <c r="D43" t="s">
        <v>814</v>
      </c>
      <c r="E43" t="s">
        <v>668</v>
      </c>
      <c r="F43">
        <v>5179</v>
      </c>
      <c r="G43" t="s">
        <v>685</v>
      </c>
      <c r="H43" s="2" t="s">
        <v>815</v>
      </c>
      <c r="I43" s="2">
        <v>20009</v>
      </c>
      <c r="J43" t="s">
        <v>671</v>
      </c>
      <c r="K43" t="s">
        <v>637</v>
      </c>
      <c r="L43" t="s">
        <v>786</v>
      </c>
      <c r="M43" s="132">
        <v>41435</v>
      </c>
      <c r="N43" t="s">
        <v>816</v>
      </c>
      <c r="O43" t="s">
        <v>817</v>
      </c>
      <c r="P43">
        <v>40172715</v>
      </c>
      <c r="Q43" t="s">
        <v>676</v>
      </c>
      <c r="R43" t="s">
        <v>818</v>
      </c>
      <c r="S43" t="s">
        <v>678</v>
      </c>
      <c r="T43" cm="1">
        <f t="array" aca="1" ref="T43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44" spans="1:20" ht="15">
      <c r="A44" s="132" t="s">
        <v>666</v>
      </c>
      <c r="B44" s="132" t="s">
        <v>667</v>
      </c>
      <c r="C44">
        <v>80013790</v>
      </c>
      <c r="D44" t="s">
        <v>264</v>
      </c>
      <c r="E44" t="s">
        <v>668</v>
      </c>
      <c r="F44">
        <v>5031</v>
      </c>
      <c r="G44" t="s">
        <v>669</v>
      </c>
      <c r="H44" s="2" t="s">
        <v>819</v>
      </c>
      <c r="I44" s="2">
        <v>20009</v>
      </c>
      <c r="J44" t="s">
        <v>671</v>
      </c>
      <c r="K44" t="s">
        <v>637</v>
      </c>
      <c r="L44" t="s">
        <v>786</v>
      </c>
      <c r="M44" s="132">
        <v>42436</v>
      </c>
      <c r="N44" t="s">
        <v>820</v>
      </c>
      <c r="O44" t="s">
        <v>704</v>
      </c>
      <c r="P44">
        <v>40172715</v>
      </c>
      <c r="Q44" t="s">
        <v>676</v>
      </c>
      <c r="R44" t="s">
        <v>821</v>
      </c>
      <c r="S44" t="s">
        <v>678</v>
      </c>
      <c r="T44" cm="1">
        <f t="array" aca="1" ref="T44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45" spans="1:20" ht="15">
      <c r="A45" s="132" t="s">
        <v>666</v>
      </c>
      <c r="B45" s="132" t="s">
        <v>667</v>
      </c>
      <c r="C45">
        <v>40192681</v>
      </c>
      <c r="D45" t="s">
        <v>342</v>
      </c>
      <c r="E45" t="s">
        <v>668</v>
      </c>
      <c r="F45">
        <v>5031</v>
      </c>
      <c r="G45" t="s">
        <v>669</v>
      </c>
      <c r="H45" s="2" t="s">
        <v>822</v>
      </c>
      <c r="I45" s="2">
        <v>20009</v>
      </c>
      <c r="J45" t="s">
        <v>671</v>
      </c>
      <c r="K45" t="s">
        <v>637</v>
      </c>
      <c r="L45" t="s">
        <v>786</v>
      </c>
      <c r="M45" s="132">
        <v>41107</v>
      </c>
      <c r="N45" t="s">
        <v>823</v>
      </c>
      <c r="O45" t="s">
        <v>704</v>
      </c>
      <c r="P45">
        <v>40172715</v>
      </c>
      <c r="Q45" t="s">
        <v>676</v>
      </c>
      <c r="R45" t="s">
        <v>824</v>
      </c>
      <c r="S45" t="s">
        <v>678</v>
      </c>
      <c r="T45" cm="1">
        <f t="array" aca="1" ref="T45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46" spans="1:20" ht="15">
      <c r="A46" s="132" t="s">
        <v>666</v>
      </c>
      <c r="B46" s="132" t="s">
        <v>667</v>
      </c>
      <c r="C46">
        <v>80007458</v>
      </c>
      <c r="D46" t="s">
        <v>344</v>
      </c>
      <c r="E46" t="s">
        <v>668</v>
      </c>
      <c r="F46">
        <v>5031</v>
      </c>
      <c r="G46" t="s">
        <v>669</v>
      </c>
      <c r="H46" s="2" t="s">
        <v>825</v>
      </c>
      <c r="I46" s="2">
        <v>20009</v>
      </c>
      <c r="J46" t="s">
        <v>671</v>
      </c>
      <c r="K46" t="s">
        <v>637</v>
      </c>
      <c r="L46" t="s">
        <v>786</v>
      </c>
      <c r="M46" s="132">
        <v>42268</v>
      </c>
      <c r="N46" t="s">
        <v>826</v>
      </c>
      <c r="O46" t="s">
        <v>675</v>
      </c>
      <c r="P46">
        <v>40172715</v>
      </c>
      <c r="Q46" t="s">
        <v>676</v>
      </c>
      <c r="R46" t="s">
        <v>827</v>
      </c>
      <c r="S46" t="s">
        <v>678</v>
      </c>
      <c r="T46" cm="1">
        <f t="array" aca="1" ref="T46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47" spans="1:20" ht="15">
      <c r="A47" s="132" t="s">
        <v>666</v>
      </c>
      <c r="B47" s="132" t="s">
        <v>667</v>
      </c>
      <c r="C47">
        <v>80143927</v>
      </c>
      <c r="D47" t="s">
        <v>258</v>
      </c>
      <c r="E47" t="s">
        <v>668</v>
      </c>
      <c r="F47">
        <v>5179</v>
      </c>
      <c r="G47" t="s">
        <v>685</v>
      </c>
      <c r="H47" s="2" t="s">
        <v>828</v>
      </c>
      <c r="I47" s="2">
        <v>20009</v>
      </c>
      <c r="J47" t="s">
        <v>671</v>
      </c>
      <c r="K47" t="s">
        <v>637</v>
      </c>
      <c r="L47" t="s">
        <v>786</v>
      </c>
      <c r="M47" s="132">
        <v>43353</v>
      </c>
      <c r="N47" t="s">
        <v>829</v>
      </c>
      <c r="O47" t="s">
        <v>704</v>
      </c>
      <c r="P47">
        <v>40172715</v>
      </c>
      <c r="Q47" t="s">
        <v>676</v>
      </c>
      <c r="R47" t="s">
        <v>830</v>
      </c>
      <c r="S47" t="s">
        <v>678</v>
      </c>
      <c r="T47" cm="1">
        <f t="array" aca="1" ref="T47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48" spans="1:20" ht="15">
      <c r="A48" s="132" t="s">
        <v>666</v>
      </c>
      <c r="B48" s="132" t="s">
        <v>667</v>
      </c>
      <c r="C48">
        <v>80157138</v>
      </c>
      <c r="D48" t="s">
        <v>572</v>
      </c>
      <c r="E48" t="s">
        <v>668</v>
      </c>
      <c r="F48">
        <v>5031</v>
      </c>
      <c r="G48" t="s">
        <v>669</v>
      </c>
      <c r="H48" s="2" t="s">
        <v>831</v>
      </c>
      <c r="I48" s="2">
        <v>20009</v>
      </c>
      <c r="J48" t="s">
        <v>671</v>
      </c>
      <c r="K48" t="s">
        <v>637</v>
      </c>
      <c r="L48" t="s">
        <v>786</v>
      </c>
      <c r="M48" s="132">
        <v>43437</v>
      </c>
      <c r="N48" t="s">
        <v>832</v>
      </c>
      <c r="O48" t="s">
        <v>675</v>
      </c>
      <c r="P48">
        <v>40172715</v>
      </c>
      <c r="Q48" t="s">
        <v>676</v>
      </c>
      <c r="R48" t="s">
        <v>833</v>
      </c>
      <c r="S48" t="s">
        <v>742</v>
      </c>
      <c r="T48" cm="1">
        <f t="array" aca="1" ref="T48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49" spans="1:20" ht="15">
      <c r="A49" s="132" t="s">
        <v>666</v>
      </c>
      <c r="B49" s="132" t="s">
        <v>667</v>
      </c>
      <c r="C49">
        <v>80185857</v>
      </c>
      <c r="D49" t="s">
        <v>252</v>
      </c>
      <c r="E49" t="s">
        <v>668</v>
      </c>
      <c r="F49">
        <v>5179</v>
      </c>
      <c r="G49" t="s">
        <v>685</v>
      </c>
      <c r="H49" s="2" t="s">
        <v>834</v>
      </c>
      <c r="I49" s="2">
        <v>20009</v>
      </c>
      <c r="J49" t="s">
        <v>671</v>
      </c>
      <c r="K49" t="s">
        <v>637</v>
      </c>
      <c r="L49" t="s">
        <v>786</v>
      </c>
      <c r="M49" s="132">
        <v>43598</v>
      </c>
      <c r="N49" t="s">
        <v>835</v>
      </c>
      <c r="O49" t="s">
        <v>704</v>
      </c>
      <c r="P49">
        <v>40172715</v>
      </c>
      <c r="Q49" t="s">
        <v>676</v>
      </c>
      <c r="R49" t="s">
        <v>836</v>
      </c>
      <c r="S49" t="s">
        <v>678</v>
      </c>
      <c r="T49" cm="1">
        <f t="array" aca="1" ref="T49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50" spans="1:20" ht="15">
      <c r="A50" s="132" t="s">
        <v>666</v>
      </c>
      <c r="B50" s="132" t="s">
        <v>667</v>
      </c>
      <c r="C50">
        <v>80187110</v>
      </c>
      <c r="D50" t="s">
        <v>411</v>
      </c>
      <c r="E50" t="s">
        <v>668</v>
      </c>
      <c r="F50">
        <v>5179</v>
      </c>
      <c r="G50" t="s">
        <v>685</v>
      </c>
      <c r="H50" s="2" t="s">
        <v>837</v>
      </c>
      <c r="I50" s="2">
        <v>20009</v>
      </c>
      <c r="J50" t="s">
        <v>671</v>
      </c>
      <c r="K50" t="s">
        <v>637</v>
      </c>
      <c r="L50" t="s">
        <v>786</v>
      </c>
      <c r="M50" s="132">
        <v>43598</v>
      </c>
      <c r="N50" t="s">
        <v>838</v>
      </c>
      <c r="O50" t="s">
        <v>675</v>
      </c>
      <c r="P50">
        <v>40172715</v>
      </c>
      <c r="Q50" t="s">
        <v>676</v>
      </c>
      <c r="R50" t="s">
        <v>839</v>
      </c>
      <c r="S50" t="s">
        <v>678</v>
      </c>
      <c r="T50" cm="1">
        <f t="array" aca="1" ref="T50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51" spans="1:20" ht="15">
      <c r="A51" s="132" t="s">
        <v>666</v>
      </c>
      <c r="B51" s="132" t="s">
        <v>667</v>
      </c>
      <c r="C51">
        <v>80300509</v>
      </c>
      <c r="D51" t="s">
        <v>586</v>
      </c>
      <c r="E51" t="s">
        <v>668</v>
      </c>
      <c r="F51">
        <v>5031</v>
      </c>
      <c r="G51" t="s">
        <v>669</v>
      </c>
      <c r="H51" s="2" t="s">
        <v>840</v>
      </c>
      <c r="I51" s="2">
        <v>20009</v>
      </c>
      <c r="J51" t="s">
        <v>671</v>
      </c>
      <c r="K51" t="s">
        <v>637</v>
      </c>
      <c r="L51" t="s">
        <v>786</v>
      </c>
      <c r="M51" s="132">
        <v>44151</v>
      </c>
      <c r="N51" t="s">
        <v>699</v>
      </c>
      <c r="O51" t="s">
        <v>675</v>
      </c>
      <c r="P51">
        <v>40172715</v>
      </c>
      <c r="Q51" t="s">
        <v>676</v>
      </c>
      <c r="R51" t="s">
        <v>841</v>
      </c>
      <c r="S51" t="s">
        <v>678</v>
      </c>
      <c r="T51" cm="1">
        <f t="array" aca="1" ref="T51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52" spans="1:20" ht="15">
      <c r="A52" s="132" t="s">
        <v>666</v>
      </c>
      <c r="B52" s="132" t="s">
        <v>667</v>
      </c>
      <c r="C52">
        <v>80851526</v>
      </c>
      <c r="D52" t="s">
        <v>436</v>
      </c>
      <c r="E52" t="s">
        <v>668</v>
      </c>
      <c r="F52">
        <v>5179</v>
      </c>
      <c r="G52" t="s">
        <v>685</v>
      </c>
      <c r="H52" s="2" t="s">
        <v>842</v>
      </c>
      <c r="I52" s="2">
        <v>20009</v>
      </c>
      <c r="J52" t="s">
        <v>671</v>
      </c>
      <c r="K52" t="s">
        <v>637</v>
      </c>
      <c r="L52" t="s">
        <v>786</v>
      </c>
      <c r="M52" s="132">
        <v>44382</v>
      </c>
      <c r="N52" t="s">
        <v>843</v>
      </c>
      <c r="O52" t="s">
        <v>704</v>
      </c>
      <c r="P52">
        <v>40172715</v>
      </c>
      <c r="Q52" t="s">
        <v>676</v>
      </c>
      <c r="R52" t="s">
        <v>844</v>
      </c>
      <c r="S52" t="s">
        <v>678</v>
      </c>
      <c r="T52" cm="1">
        <f t="array" aca="1" ref="T52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53" spans="1:20" ht="15">
      <c r="A53" s="132" t="s">
        <v>666</v>
      </c>
      <c r="B53" s="132" t="s">
        <v>667</v>
      </c>
      <c r="C53">
        <v>80916371</v>
      </c>
      <c r="D53" t="s">
        <v>170</v>
      </c>
      <c r="E53" t="s">
        <v>668</v>
      </c>
      <c r="F53">
        <v>5179</v>
      </c>
      <c r="G53" t="s">
        <v>685</v>
      </c>
      <c r="H53" s="2" t="s">
        <v>845</v>
      </c>
      <c r="I53" s="2">
        <v>20009</v>
      </c>
      <c r="J53" t="s">
        <v>671</v>
      </c>
      <c r="K53" t="s">
        <v>637</v>
      </c>
      <c r="L53" t="s">
        <v>786</v>
      </c>
      <c r="M53" s="132">
        <v>44622</v>
      </c>
      <c r="N53" t="s">
        <v>693</v>
      </c>
      <c r="O53" t="s">
        <v>704</v>
      </c>
      <c r="P53">
        <v>40172715</v>
      </c>
      <c r="Q53" t="s">
        <v>676</v>
      </c>
      <c r="R53" t="s">
        <v>846</v>
      </c>
      <c r="S53" t="s">
        <v>678</v>
      </c>
      <c r="T53" cm="1">
        <f t="array" aca="1" ref="T53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54" spans="1:20" ht="15">
      <c r="A54" s="132" t="s">
        <v>666</v>
      </c>
      <c r="B54" s="132" t="s">
        <v>667</v>
      </c>
      <c r="C54">
        <v>80931429</v>
      </c>
      <c r="D54" t="s">
        <v>405</v>
      </c>
      <c r="E54" t="s">
        <v>668</v>
      </c>
      <c r="F54">
        <v>5031</v>
      </c>
      <c r="G54" t="s">
        <v>669</v>
      </c>
      <c r="H54" s="2" t="s">
        <v>847</v>
      </c>
      <c r="I54" s="2">
        <v>20009</v>
      </c>
      <c r="J54" t="s">
        <v>671</v>
      </c>
      <c r="K54" t="s">
        <v>637</v>
      </c>
      <c r="L54" t="s">
        <v>786</v>
      </c>
      <c r="M54" s="132">
        <v>44669</v>
      </c>
      <c r="N54" t="s">
        <v>848</v>
      </c>
      <c r="O54" t="s">
        <v>675</v>
      </c>
      <c r="P54">
        <v>40172715</v>
      </c>
      <c r="Q54" t="s">
        <v>676</v>
      </c>
      <c r="R54" t="s">
        <v>849</v>
      </c>
      <c r="S54" t="s">
        <v>678</v>
      </c>
      <c r="T54" cm="1">
        <f t="array" aca="1" ref="T54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55" spans="1:20" ht="15">
      <c r="A55" s="132" t="s">
        <v>666</v>
      </c>
      <c r="B55" s="132" t="s">
        <v>667</v>
      </c>
      <c r="C55">
        <v>80997268</v>
      </c>
      <c r="D55" t="s">
        <v>591</v>
      </c>
      <c r="E55" t="s">
        <v>668</v>
      </c>
      <c r="F55">
        <v>5031</v>
      </c>
      <c r="G55" t="s">
        <v>669</v>
      </c>
      <c r="H55" s="2" t="s">
        <v>850</v>
      </c>
      <c r="I55" s="2">
        <v>20009</v>
      </c>
      <c r="J55" t="s">
        <v>671</v>
      </c>
      <c r="K55" t="s">
        <v>637</v>
      </c>
      <c r="L55" t="s">
        <v>786</v>
      </c>
      <c r="M55" s="132">
        <v>44872</v>
      </c>
      <c r="N55" t="s">
        <v>851</v>
      </c>
      <c r="O55" t="s">
        <v>772</v>
      </c>
      <c r="P55">
        <v>40172715</v>
      </c>
      <c r="Q55" t="s">
        <v>676</v>
      </c>
      <c r="R55" t="s">
        <v>852</v>
      </c>
      <c r="S55" t="s">
        <v>678</v>
      </c>
      <c r="T55" cm="1">
        <f t="array" aca="1" ref="T55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56" spans="1:20" ht="15">
      <c r="A56" s="132" t="s">
        <v>666</v>
      </c>
      <c r="B56" s="132" t="s">
        <v>667</v>
      </c>
      <c r="C56">
        <v>80997371</v>
      </c>
      <c r="D56" t="s">
        <v>58</v>
      </c>
      <c r="E56" t="s">
        <v>668</v>
      </c>
      <c r="F56">
        <v>5031</v>
      </c>
      <c r="G56" t="s">
        <v>669</v>
      </c>
      <c r="H56" s="2" t="s">
        <v>853</v>
      </c>
      <c r="I56" s="2">
        <v>20009</v>
      </c>
      <c r="J56" t="s">
        <v>671</v>
      </c>
      <c r="K56" t="s">
        <v>637</v>
      </c>
      <c r="L56" t="s">
        <v>786</v>
      </c>
      <c r="M56" s="132">
        <v>44872</v>
      </c>
      <c r="N56" t="s">
        <v>854</v>
      </c>
      <c r="O56" t="s">
        <v>704</v>
      </c>
      <c r="P56">
        <v>40172715</v>
      </c>
      <c r="Q56" t="s">
        <v>676</v>
      </c>
      <c r="R56" t="s">
        <v>855</v>
      </c>
      <c r="S56" t="s">
        <v>678</v>
      </c>
      <c r="T56" cm="1">
        <f t="array" aca="1" ref="T56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57" spans="1:20" ht="15">
      <c r="A57" s="132" t="s">
        <v>666</v>
      </c>
      <c r="B57" s="132" t="s">
        <v>667</v>
      </c>
      <c r="C57">
        <v>81003485</v>
      </c>
      <c r="D57" t="s">
        <v>270</v>
      </c>
      <c r="E57" t="s">
        <v>668</v>
      </c>
      <c r="F57">
        <v>5179</v>
      </c>
      <c r="G57" t="s">
        <v>685</v>
      </c>
      <c r="H57" s="2" t="s">
        <v>856</v>
      </c>
      <c r="I57" s="2">
        <v>20009</v>
      </c>
      <c r="J57" t="s">
        <v>671</v>
      </c>
      <c r="K57" t="s">
        <v>637</v>
      </c>
      <c r="L57" t="s">
        <v>786</v>
      </c>
      <c r="M57" s="132">
        <v>44900</v>
      </c>
      <c r="N57" t="s">
        <v>857</v>
      </c>
      <c r="O57" t="s">
        <v>772</v>
      </c>
      <c r="P57">
        <v>40172715</v>
      </c>
      <c r="Q57" t="s">
        <v>676</v>
      </c>
      <c r="R57" t="s">
        <v>858</v>
      </c>
      <c r="S57" t="s">
        <v>678</v>
      </c>
      <c r="T57" cm="1">
        <f t="array" aca="1" ref="T57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58" spans="1:20" ht="15">
      <c r="A58" s="132" t="s">
        <v>666</v>
      </c>
      <c r="B58" s="132" t="s">
        <v>667</v>
      </c>
      <c r="C58">
        <v>81033488</v>
      </c>
      <c r="D58" t="s">
        <v>387</v>
      </c>
      <c r="E58" t="s">
        <v>668</v>
      </c>
      <c r="F58">
        <v>5179</v>
      </c>
      <c r="G58" t="s">
        <v>685</v>
      </c>
      <c r="H58" s="2" t="s">
        <v>859</v>
      </c>
      <c r="I58" s="2">
        <v>20009</v>
      </c>
      <c r="J58" t="s">
        <v>671</v>
      </c>
      <c r="K58" t="s">
        <v>637</v>
      </c>
      <c r="L58" t="s">
        <v>786</v>
      </c>
      <c r="M58" s="132">
        <v>45019</v>
      </c>
      <c r="N58" t="s">
        <v>860</v>
      </c>
      <c r="O58" t="s">
        <v>675</v>
      </c>
      <c r="P58">
        <v>40172715</v>
      </c>
      <c r="Q58" t="s">
        <v>676</v>
      </c>
      <c r="R58" t="s">
        <v>861</v>
      </c>
      <c r="S58" t="s">
        <v>678</v>
      </c>
      <c r="T58" cm="1">
        <f t="array" aca="1" ref="T58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59" spans="1:20" ht="15">
      <c r="A59" s="132" t="s">
        <v>666</v>
      </c>
      <c r="B59" s="132" t="s">
        <v>667</v>
      </c>
      <c r="C59">
        <v>81033775</v>
      </c>
      <c r="D59" t="s">
        <v>274</v>
      </c>
      <c r="E59" t="s">
        <v>668</v>
      </c>
      <c r="F59">
        <v>5179</v>
      </c>
      <c r="G59" t="s">
        <v>685</v>
      </c>
      <c r="H59" s="2" t="s">
        <v>862</v>
      </c>
      <c r="I59" s="2">
        <v>20009</v>
      </c>
      <c r="J59" t="s">
        <v>671</v>
      </c>
      <c r="K59" t="s">
        <v>637</v>
      </c>
      <c r="L59" t="s">
        <v>786</v>
      </c>
      <c r="M59" s="132">
        <v>45019</v>
      </c>
      <c r="N59" t="s">
        <v>863</v>
      </c>
      <c r="O59" t="s">
        <v>772</v>
      </c>
      <c r="P59">
        <v>40172715</v>
      </c>
      <c r="Q59" t="s">
        <v>676</v>
      </c>
      <c r="R59" t="s">
        <v>864</v>
      </c>
      <c r="S59" t="s">
        <v>678</v>
      </c>
      <c r="T59" cm="1">
        <f t="array" aca="1" ref="T59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60" spans="1:20" ht="15">
      <c r="A60" s="132" t="s">
        <v>666</v>
      </c>
      <c r="B60" s="132" t="s">
        <v>667</v>
      </c>
      <c r="C60">
        <v>81136143</v>
      </c>
      <c r="D60" t="s">
        <v>621</v>
      </c>
      <c r="E60" t="s">
        <v>668</v>
      </c>
      <c r="F60">
        <v>5179</v>
      </c>
      <c r="G60" t="s">
        <v>685</v>
      </c>
      <c r="H60" s="2" t="s">
        <v>865</v>
      </c>
      <c r="I60" s="2">
        <v>20009</v>
      </c>
      <c r="J60" t="s">
        <v>671</v>
      </c>
      <c r="K60" t="s">
        <v>637</v>
      </c>
      <c r="L60" t="s">
        <v>786</v>
      </c>
      <c r="M60" s="132">
        <v>45383</v>
      </c>
      <c r="N60" t="s">
        <v>866</v>
      </c>
      <c r="O60" t="s">
        <v>704</v>
      </c>
      <c r="P60">
        <v>40172715</v>
      </c>
      <c r="Q60" t="s">
        <v>676</v>
      </c>
      <c r="R60" t="s">
        <v>867</v>
      </c>
      <c r="S60" t="s">
        <v>678</v>
      </c>
      <c r="T60" cm="1">
        <f t="array" aca="1" ref="T60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61" spans="1:20" ht="15">
      <c r="A61" s="132" t="s">
        <v>666</v>
      </c>
      <c r="B61" s="132" t="s">
        <v>667</v>
      </c>
      <c r="C61">
        <v>81145746</v>
      </c>
      <c r="D61" t="s">
        <v>181</v>
      </c>
      <c r="E61" t="s">
        <v>668</v>
      </c>
      <c r="F61">
        <v>5031</v>
      </c>
      <c r="G61" t="s">
        <v>669</v>
      </c>
      <c r="H61" s="2" t="s">
        <v>868</v>
      </c>
      <c r="I61" s="2">
        <v>20009</v>
      </c>
      <c r="J61" t="s">
        <v>671</v>
      </c>
      <c r="K61" t="s">
        <v>637</v>
      </c>
      <c r="L61" t="s">
        <v>786</v>
      </c>
      <c r="M61" s="132">
        <v>45425</v>
      </c>
      <c r="N61" t="s">
        <v>869</v>
      </c>
      <c r="O61" t="s">
        <v>704</v>
      </c>
      <c r="P61">
        <v>40172715</v>
      </c>
      <c r="Q61" t="s">
        <v>676</v>
      </c>
      <c r="R61" t="s">
        <v>870</v>
      </c>
      <c r="S61" t="s">
        <v>678</v>
      </c>
      <c r="T61" cm="1">
        <f t="array" aca="1" ref="T61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62" spans="1:20" ht="15">
      <c r="A62" s="132" t="s">
        <v>666</v>
      </c>
      <c r="B62" s="132" t="s">
        <v>667</v>
      </c>
      <c r="C62">
        <v>81150129</v>
      </c>
      <c r="D62" t="s">
        <v>402</v>
      </c>
      <c r="E62" t="s">
        <v>668</v>
      </c>
      <c r="F62">
        <v>5179</v>
      </c>
      <c r="G62" t="s">
        <v>685</v>
      </c>
      <c r="H62" s="2" t="s">
        <v>871</v>
      </c>
      <c r="I62" s="2">
        <v>20009</v>
      </c>
      <c r="J62" t="s">
        <v>671</v>
      </c>
      <c r="K62" t="s">
        <v>637</v>
      </c>
      <c r="L62" t="s">
        <v>786</v>
      </c>
      <c r="M62" s="132">
        <v>45446</v>
      </c>
      <c r="N62" t="s">
        <v>872</v>
      </c>
      <c r="O62" t="s">
        <v>675</v>
      </c>
      <c r="P62">
        <v>40172715</v>
      </c>
      <c r="Q62" t="s">
        <v>676</v>
      </c>
      <c r="R62" t="s">
        <v>873</v>
      </c>
      <c r="S62" t="s">
        <v>678</v>
      </c>
      <c r="T62" cm="1">
        <f t="array" aca="1" ref="T62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63" spans="1:20" ht="15">
      <c r="A63" s="132" t="s">
        <v>666</v>
      </c>
      <c r="B63" s="132" t="s">
        <v>667</v>
      </c>
      <c r="C63">
        <v>81150509</v>
      </c>
      <c r="D63" t="s">
        <v>490</v>
      </c>
      <c r="E63" t="s">
        <v>668</v>
      </c>
      <c r="F63">
        <v>5031</v>
      </c>
      <c r="G63" t="s">
        <v>669</v>
      </c>
      <c r="H63" s="2" t="s">
        <v>874</v>
      </c>
      <c r="I63" s="2">
        <v>20009</v>
      </c>
      <c r="J63" t="s">
        <v>671</v>
      </c>
      <c r="K63" t="s">
        <v>637</v>
      </c>
      <c r="L63" t="s">
        <v>786</v>
      </c>
      <c r="M63" s="132">
        <v>45446</v>
      </c>
      <c r="N63" t="s">
        <v>875</v>
      </c>
      <c r="O63" t="s">
        <v>772</v>
      </c>
      <c r="P63">
        <v>40172715</v>
      </c>
      <c r="Q63" t="s">
        <v>676</v>
      </c>
      <c r="R63" t="s">
        <v>876</v>
      </c>
      <c r="S63" t="s">
        <v>678</v>
      </c>
      <c r="T63" cm="1">
        <f t="array" aca="1" ref="T63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64" spans="1:20" ht="15">
      <c r="A64" s="132" t="s">
        <v>666</v>
      </c>
      <c r="B64" s="132" t="s">
        <v>667</v>
      </c>
      <c r="C64">
        <v>81170000</v>
      </c>
      <c r="D64" t="s">
        <v>285</v>
      </c>
      <c r="E64" t="s">
        <v>668</v>
      </c>
      <c r="F64">
        <v>5179</v>
      </c>
      <c r="G64" t="s">
        <v>685</v>
      </c>
      <c r="H64" s="2" t="s">
        <v>877</v>
      </c>
      <c r="I64" s="2">
        <v>20009</v>
      </c>
      <c r="J64" t="s">
        <v>671</v>
      </c>
      <c r="K64" t="s">
        <v>637</v>
      </c>
      <c r="L64" t="s">
        <v>786</v>
      </c>
      <c r="M64" s="132">
        <v>45516</v>
      </c>
      <c r="N64" t="s">
        <v>878</v>
      </c>
      <c r="O64" t="s">
        <v>675</v>
      </c>
      <c r="P64">
        <v>40172715</v>
      </c>
      <c r="Q64" t="s">
        <v>676</v>
      </c>
      <c r="R64" t="s">
        <v>879</v>
      </c>
      <c r="S64" t="s">
        <v>678</v>
      </c>
      <c r="T64" cm="1">
        <f t="array" aca="1" ref="T64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65" spans="1:20" ht="15">
      <c r="A65" s="132" t="s">
        <v>666</v>
      </c>
      <c r="B65" s="132" t="s">
        <v>880</v>
      </c>
      <c r="C65">
        <v>40286011</v>
      </c>
      <c r="D65" t="s">
        <v>499</v>
      </c>
      <c r="E65" t="s">
        <v>668</v>
      </c>
      <c r="F65">
        <v>2300</v>
      </c>
      <c r="G65" t="s">
        <v>881</v>
      </c>
      <c r="H65" s="2" t="s">
        <v>882</v>
      </c>
      <c r="I65" s="2">
        <v>20009</v>
      </c>
      <c r="J65" t="s">
        <v>671</v>
      </c>
      <c r="K65" t="s">
        <v>641</v>
      </c>
      <c r="L65" t="s">
        <v>883</v>
      </c>
      <c r="M65" s="132">
        <v>41932</v>
      </c>
      <c r="N65" t="s">
        <v>884</v>
      </c>
      <c r="O65" t="s">
        <v>675</v>
      </c>
      <c r="P65">
        <v>80122249</v>
      </c>
      <c r="Q65" t="s">
        <v>885</v>
      </c>
      <c r="R65" t="s">
        <v>886</v>
      </c>
      <c r="S65" t="s">
        <v>678</v>
      </c>
      <c r="T65" cm="1">
        <f t="array" aca="1" ref="T65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66" spans="1:20" ht="15">
      <c r="A66" s="132" t="s">
        <v>666</v>
      </c>
      <c r="B66" s="132" t="s">
        <v>880</v>
      </c>
      <c r="C66">
        <v>40302139</v>
      </c>
      <c r="D66" t="s">
        <v>522</v>
      </c>
      <c r="E66" t="s">
        <v>668</v>
      </c>
      <c r="F66">
        <v>2292</v>
      </c>
      <c r="G66" t="s">
        <v>887</v>
      </c>
      <c r="H66" s="2" t="s">
        <v>888</v>
      </c>
      <c r="I66" s="2">
        <v>20009</v>
      </c>
      <c r="J66" t="s">
        <v>671</v>
      </c>
      <c r="K66" t="s">
        <v>641</v>
      </c>
      <c r="L66" t="s">
        <v>883</v>
      </c>
      <c r="M66" s="132">
        <v>42219</v>
      </c>
      <c r="N66" t="s">
        <v>889</v>
      </c>
      <c r="O66" t="s">
        <v>759</v>
      </c>
      <c r="P66">
        <v>80122249</v>
      </c>
      <c r="Q66" t="s">
        <v>885</v>
      </c>
      <c r="R66" t="s">
        <v>890</v>
      </c>
      <c r="S66" t="s">
        <v>678</v>
      </c>
      <c r="T66" cm="1">
        <f t="array" aca="1" ref="T66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67" spans="1:20" ht="15">
      <c r="A67" s="132" t="s">
        <v>666</v>
      </c>
      <c r="B67" s="132" t="s">
        <v>880</v>
      </c>
      <c r="C67">
        <v>80122249</v>
      </c>
      <c r="D67" t="s">
        <v>885</v>
      </c>
      <c r="E67" t="s">
        <v>668</v>
      </c>
      <c r="F67">
        <v>2270</v>
      </c>
      <c r="G67" t="s">
        <v>891</v>
      </c>
      <c r="H67" s="2" t="s">
        <v>892</v>
      </c>
      <c r="I67" s="2">
        <v>20009</v>
      </c>
      <c r="J67" t="s">
        <v>671</v>
      </c>
      <c r="K67" t="s">
        <v>641</v>
      </c>
      <c r="L67" t="s">
        <v>883</v>
      </c>
      <c r="M67" s="132">
        <v>43255</v>
      </c>
      <c r="N67" t="s">
        <v>893</v>
      </c>
      <c r="O67" t="s">
        <v>894</v>
      </c>
      <c r="P67">
        <v>80023567</v>
      </c>
      <c r="Q67" t="s">
        <v>895</v>
      </c>
      <c r="R67" t="s">
        <v>896</v>
      </c>
      <c r="S67" t="s">
        <v>678</v>
      </c>
      <c r="T67" cm="1">
        <f t="array" aca="1" ref="T67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68" spans="1:20" ht="15">
      <c r="A68" s="132" t="s">
        <v>666</v>
      </c>
      <c r="B68" s="132" t="s">
        <v>880</v>
      </c>
      <c r="C68">
        <v>80159517</v>
      </c>
      <c r="D68" t="s">
        <v>176</v>
      </c>
      <c r="E68" t="s">
        <v>668</v>
      </c>
      <c r="F68">
        <v>2269</v>
      </c>
      <c r="G68" t="s">
        <v>897</v>
      </c>
      <c r="H68" s="2" t="s">
        <v>898</v>
      </c>
      <c r="I68" s="2">
        <v>20009</v>
      </c>
      <c r="J68" t="s">
        <v>671</v>
      </c>
      <c r="K68" t="s">
        <v>641</v>
      </c>
      <c r="L68" t="s">
        <v>883</v>
      </c>
      <c r="M68" s="132">
        <v>43451</v>
      </c>
      <c r="N68" t="s">
        <v>690</v>
      </c>
      <c r="O68" t="s">
        <v>759</v>
      </c>
      <c r="P68">
        <v>80122249</v>
      </c>
      <c r="Q68" t="s">
        <v>885</v>
      </c>
      <c r="R68" t="s">
        <v>899</v>
      </c>
      <c r="S68" t="s">
        <v>678</v>
      </c>
      <c r="T68" cm="1">
        <f t="array" aca="1" ref="T68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69" spans="1:20" ht="15">
      <c r="A69" s="132" t="s">
        <v>666</v>
      </c>
      <c r="B69" s="132" t="s">
        <v>880</v>
      </c>
      <c r="C69">
        <v>80900231</v>
      </c>
      <c r="D69" t="s">
        <v>305</v>
      </c>
      <c r="E69" t="s">
        <v>668</v>
      </c>
      <c r="F69">
        <v>2292</v>
      </c>
      <c r="G69" t="s">
        <v>887</v>
      </c>
      <c r="H69" s="2" t="s">
        <v>900</v>
      </c>
      <c r="I69" s="2">
        <v>20009</v>
      </c>
      <c r="J69" t="s">
        <v>671</v>
      </c>
      <c r="K69" t="s">
        <v>641</v>
      </c>
      <c r="L69" t="s">
        <v>883</v>
      </c>
      <c r="M69" s="132">
        <v>44564</v>
      </c>
      <c r="N69" t="s">
        <v>901</v>
      </c>
      <c r="O69" t="s">
        <v>759</v>
      </c>
      <c r="P69">
        <v>80122249</v>
      </c>
      <c r="Q69" t="s">
        <v>885</v>
      </c>
      <c r="R69" t="s">
        <v>902</v>
      </c>
      <c r="S69" t="s">
        <v>678</v>
      </c>
      <c r="T69" cm="1">
        <f t="array" aca="1" ref="T69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70" spans="1:20" ht="15">
      <c r="A70" s="132" t="s">
        <v>666</v>
      </c>
      <c r="B70" s="132" t="s">
        <v>880</v>
      </c>
      <c r="C70">
        <v>81009737</v>
      </c>
      <c r="D70" t="s">
        <v>104</v>
      </c>
      <c r="E70" t="s">
        <v>668</v>
      </c>
      <c r="F70">
        <v>2300</v>
      </c>
      <c r="G70" t="s">
        <v>881</v>
      </c>
      <c r="H70" s="2" t="s">
        <v>903</v>
      </c>
      <c r="I70" s="2">
        <v>20009</v>
      </c>
      <c r="J70" t="s">
        <v>671</v>
      </c>
      <c r="K70" t="s">
        <v>641</v>
      </c>
      <c r="L70" t="s">
        <v>883</v>
      </c>
      <c r="M70" s="132">
        <v>44928</v>
      </c>
      <c r="N70" t="s">
        <v>869</v>
      </c>
      <c r="O70" t="s">
        <v>704</v>
      </c>
      <c r="P70">
        <v>80122249</v>
      </c>
      <c r="Q70" t="s">
        <v>885</v>
      </c>
      <c r="R70" t="s">
        <v>904</v>
      </c>
      <c r="S70" t="s">
        <v>678</v>
      </c>
      <c r="T70" cm="1">
        <f t="array" aca="1" ref="T70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71" spans="1:20" ht="15">
      <c r="A71" s="132" t="s">
        <v>666</v>
      </c>
      <c r="B71" s="132" t="s">
        <v>880</v>
      </c>
      <c r="C71">
        <v>81041744</v>
      </c>
      <c r="D71" t="s">
        <v>480</v>
      </c>
      <c r="E71" t="s">
        <v>668</v>
      </c>
      <c r="F71">
        <v>2300</v>
      </c>
      <c r="G71" t="s">
        <v>881</v>
      </c>
      <c r="H71" s="2" t="s">
        <v>905</v>
      </c>
      <c r="I71" s="2">
        <v>20009</v>
      </c>
      <c r="J71" t="s">
        <v>671</v>
      </c>
      <c r="K71" t="s">
        <v>641</v>
      </c>
      <c r="L71" t="s">
        <v>883</v>
      </c>
      <c r="M71" s="132">
        <v>45048</v>
      </c>
      <c r="N71" t="s">
        <v>906</v>
      </c>
      <c r="O71" t="s">
        <v>675</v>
      </c>
      <c r="P71">
        <v>80122249</v>
      </c>
      <c r="Q71" t="s">
        <v>885</v>
      </c>
      <c r="R71" t="s">
        <v>907</v>
      </c>
      <c r="S71" t="s">
        <v>678</v>
      </c>
      <c r="T71" cm="1">
        <f t="array" aca="1" ref="T71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72" spans="1:20" ht="15">
      <c r="A72" s="132" t="s">
        <v>666</v>
      </c>
      <c r="B72" s="132" t="s">
        <v>880</v>
      </c>
      <c r="C72">
        <v>81050387</v>
      </c>
      <c r="D72" t="s">
        <v>331</v>
      </c>
      <c r="E72" t="s">
        <v>668</v>
      </c>
      <c r="F72">
        <v>2300</v>
      </c>
      <c r="G72" t="s">
        <v>881</v>
      </c>
      <c r="H72" s="2" t="s">
        <v>908</v>
      </c>
      <c r="I72" s="2">
        <v>20009</v>
      </c>
      <c r="J72" t="s">
        <v>671</v>
      </c>
      <c r="K72" t="s">
        <v>641</v>
      </c>
      <c r="L72" t="s">
        <v>883</v>
      </c>
      <c r="M72" s="132">
        <v>45082</v>
      </c>
      <c r="N72" t="s">
        <v>909</v>
      </c>
      <c r="O72" t="s">
        <v>675</v>
      </c>
      <c r="P72">
        <v>80122249</v>
      </c>
      <c r="Q72" t="s">
        <v>885</v>
      </c>
      <c r="R72" t="s">
        <v>910</v>
      </c>
      <c r="S72" t="s">
        <v>678</v>
      </c>
      <c r="T72" cm="1">
        <f t="array" aca="1" ref="T72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73" spans="1:20" ht="15">
      <c r="A73" s="132" t="s">
        <v>666</v>
      </c>
      <c r="B73" s="132" t="s">
        <v>880</v>
      </c>
      <c r="C73">
        <v>81232514</v>
      </c>
      <c r="D73" t="s">
        <v>293</v>
      </c>
      <c r="E73" t="s">
        <v>668</v>
      </c>
      <c r="F73">
        <v>2300</v>
      </c>
      <c r="G73" t="s">
        <v>881</v>
      </c>
      <c r="H73" s="2" t="s">
        <v>911</v>
      </c>
      <c r="I73" s="2">
        <v>20009</v>
      </c>
      <c r="J73" t="s">
        <v>671</v>
      </c>
      <c r="K73" t="s">
        <v>641</v>
      </c>
      <c r="L73" t="s">
        <v>883</v>
      </c>
      <c r="M73" s="132">
        <v>45873</v>
      </c>
      <c r="N73" t="s">
        <v>901</v>
      </c>
      <c r="O73" t="s">
        <v>704</v>
      </c>
      <c r="P73">
        <v>80122249</v>
      </c>
      <c r="Q73" t="s">
        <v>885</v>
      </c>
      <c r="R73" t="s">
        <v>912</v>
      </c>
      <c r="S73" t="s">
        <v>678</v>
      </c>
      <c r="T73" cm="1">
        <f t="array" aca="1" ref="T73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74" spans="1:20" ht="15">
      <c r="A74" s="132" t="s">
        <v>666</v>
      </c>
      <c r="B74" s="132" t="s">
        <v>880</v>
      </c>
      <c r="C74">
        <v>81238713</v>
      </c>
      <c r="D74" t="s">
        <v>633</v>
      </c>
      <c r="E74" t="s">
        <v>668</v>
      </c>
      <c r="F74">
        <v>2300</v>
      </c>
      <c r="G74" t="s">
        <v>881</v>
      </c>
      <c r="H74" s="2" t="s">
        <v>913</v>
      </c>
      <c r="I74" s="2">
        <v>20009</v>
      </c>
      <c r="J74" t="s">
        <v>671</v>
      </c>
      <c r="K74" t="s">
        <v>641</v>
      </c>
      <c r="L74" t="s">
        <v>883</v>
      </c>
      <c r="M74" s="132">
        <v>45915</v>
      </c>
      <c r="N74" t="s">
        <v>914</v>
      </c>
      <c r="O74" t="s">
        <v>675</v>
      </c>
      <c r="P74">
        <v>80122249</v>
      </c>
      <c r="Q74" t="s">
        <v>885</v>
      </c>
      <c r="R74" t="s">
        <v>915</v>
      </c>
      <c r="S74" t="s">
        <v>678</v>
      </c>
      <c r="T74" cm="1">
        <f t="array" aca="1" ref="T74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75" spans="1:20" ht="15">
      <c r="A75" s="132" t="s">
        <v>666</v>
      </c>
      <c r="B75" s="132" t="s">
        <v>667</v>
      </c>
      <c r="C75">
        <v>40185173</v>
      </c>
      <c r="D75" t="s">
        <v>212</v>
      </c>
      <c r="E75" t="s">
        <v>668</v>
      </c>
      <c r="F75">
        <v>5504</v>
      </c>
      <c r="G75" t="s">
        <v>916</v>
      </c>
      <c r="H75" s="2" t="s">
        <v>917</v>
      </c>
      <c r="I75" s="2">
        <v>20009</v>
      </c>
      <c r="J75" t="s">
        <v>671</v>
      </c>
      <c r="K75" t="s">
        <v>918</v>
      </c>
      <c r="L75" t="s">
        <v>919</v>
      </c>
      <c r="M75" s="132">
        <v>40924</v>
      </c>
      <c r="N75" t="s">
        <v>920</v>
      </c>
      <c r="O75" t="s">
        <v>772</v>
      </c>
      <c r="P75">
        <v>40172746</v>
      </c>
      <c r="Q75" t="s">
        <v>98</v>
      </c>
      <c r="R75" t="s">
        <v>921</v>
      </c>
      <c r="S75" t="s">
        <v>678</v>
      </c>
      <c r="T75" cm="1">
        <f t="array" aca="1" ref="T75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76" spans="1:20" ht="15">
      <c r="A76" s="132" t="s">
        <v>666</v>
      </c>
      <c r="B76" s="132" t="s">
        <v>667</v>
      </c>
      <c r="C76">
        <v>40216201</v>
      </c>
      <c r="D76" t="s">
        <v>922</v>
      </c>
      <c r="E76" t="s">
        <v>668</v>
      </c>
      <c r="F76">
        <v>5504</v>
      </c>
      <c r="G76" t="s">
        <v>916</v>
      </c>
      <c r="H76" s="2" t="s">
        <v>923</v>
      </c>
      <c r="I76" s="2">
        <v>20009</v>
      </c>
      <c r="J76" t="s">
        <v>671</v>
      </c>
      <c r="K76" t="s">
        <v>918</v>
      </c>
      <c r="L76" t="s">
        <v>919</v>
      </c>
      <c r="M76" s="132">
        <v>41435</v>
      </c>
      <c r="N76" t="s">
        <v>924</v>
      </c>
      <c r="O76" t="s">
        <v>675</v>
      </c>
      <c r="P76">
        <v>40172746</v>
      </c>
      <c r="Q76" t="s">
        <v>98</v>
      </c>
      <c r="R76" t="s">
        <v>925</v>
      </c>
      <c r="S76" t="s">
        <v>678</v>
      </c>
      <c r="T76" cm="1">
        <f t="array" aca="1" ref="T76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77" spans="1:20" ht="15">
      <c r="A77" s="132" t="s">
        <v>666</v>
      </c>
      <c r="B77" s="132" t="s">
        <v>667</v>
      </c>
      <c r="C77">
        <v>80888568</v>
      </c>
      <c r="D77" t="s">
        <v>141</v>
      </c>
      <c r="E77" t="s">
        <v>668</v>
      </c>
      <c r="F77">
        <v>5504</v>
      </c>
      <c r="G77" t="s">
        <v>916</v>
      </c>
      <c r="H77" s="2" t="s">
        <v>926</v>
      </c>
      <c r="I77" s="2">
        <v>20009</v>
      </c>
      <c r="J77" t="s">
        <v>671</v>
      </c>
      <c r="K77" t="s">
        <v>918</v>
      </c>
      <c r="L77" t="s">
        <v>919</v>
      </c>
      <c r="M77" s="132">
        <v>44516</v>
      </c>
      <c r="N77" t="s">
        <v>927</v>
      </c>
      <c r="O77" t="s">
        <v>704</v>
      </c>
      <c r="P77">
        <v>40172746</v>
      </c>
      <c r="Q77" t="s">
        <v>98</v>
      </c>
      <c r="R77" t="s">
        <v>928</v>
      </c>
      <c r="S77" t="s">
        <v>678</v>
      </c>
      <c r="T77" cm="1">
        <f t="array" aca="1" ref="T77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78" spans="1:20" ht="15">
      <c r="A78" s="132" t="s">
        <v>666</v>
      </c>
      <c r="B78" s="132" t="s">
        <v>667</v>
      </c>
      <c r="C78">
        <v>80977012</v>
      </c>
      <c r="D78" t="s">
        <v>546</v>
      </c>
      <c r="E78" t="s">
        <v>668</v>
      </c>
      <c r="F78">
        <v>5504</v>
      </c>
      <c r="G78" t="s">
        <v>916</v>
      </c>
      <c r="H78" s="2" t="s">
        <v>929</v>
      </c>
      <c r="I78" s="2">
        <v>20009</v>
      </c>
      <c r="J78" t="s">
        <v>671</v>
      </c>
      <c r="K78" t="s">
        <v>918</v>
      </c>
      <c r="L78" t="s">
        <v>919</v>
      </c>
      <c r="M78" s="132">
        <v>44809</v>
      </c>
      <c r="N78" t="s">
        <v>930</v>
      </c>
      <c r="O78" t="s">
        <v>675</v>
      </c>
      <c r="P78">
        <v>40172746</v>
      </c>
      <c r="Q78" t="s">
        <v>98</v>
      </c>
      <c r="R78" t="s">
        <v>931</v>
      </c>
      <c r="S78" t="s">
        <v>678</v>
      </c>
      <c r="T78" cm="1">
        <f t="array" aca="1" ref="T78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79" spans="1:20" ht="15">
      <c r="A79" s="132" t="s">
        <v>932</v>
      </c>
      <c r="B79" s="132" t="s">
        <v>933</v>
      </c>
      <c r="C79">
        <v>80157142</v>
      </c>
      <c r="D79" t="s">
        <v>373</v>
      </c>
      <c r="E79" t="s">
        <v>668</v>
      </c>
      <c r="F79">
        <v>1881</v>
      </c>
      <c r="G79" t="s">
        <v>934</v>
      </c>
      <c r="H79" s="2" t="s">
        <v>935</v>
      </c>
      <c r="I79" s="2">
        <v>20009</v>
      </c>
      <c r="J79" t="s">
        <v>671</v>
      </c>
      <c r="K79" t="s">
        <v>936</v>
      </c>
      <c r="L79" t="s">
        <v>937</v>
      </c>
      <c r="M79" s="132">
        <v>43437</v>
      </c>
      <c r="N79" t="s">
        <v>938</v>
      </c>
      <c r="O79" t="s">
        <v>675</v>
      </c>
      <c r="P79">
        <v>40172880</v>
      </c>
      <c r="Q79" t="s">
        <v>939</v>
      </c>
      <c r="R79" t="s">
        <v>940</v>
      </c>
      <c r="S79" t="s">
        <v>678</v>
      </c>
      <c r="T79" cm="1">
        <f t="array" aca="1" ref="T79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80" spans="1:20" ht="15">
      <c r="A80" s="132" t="s">
        <v>932</v>
      </c>
      <c r="B80" s="132" t="s">
        <v>933</v>
      </c>
      <c r="C80">
        <v>81054406</v>
      </c>
      <c r="D80" t="s">
        <v>454</v>
      </c>
      <c r="E80" t="s">
        <v>668</v>
      </c>
      <c r="F80">
        <v>1881</v>
      </c>
      <c r="G80" t="s">
        <v>934</v>
      </c>
      <c r="H80" s="2" t="s">
        <v>941</v>
      </c>
      <c r="I80" s="2">
        <v>20009</v>
      </c>
      <c r="J80" t="s">
        <v>671</v>
      </c>
      <c r="K80" t="s">
        <v>936</v>
      </c>
      <c r="L80" t="s">
        <v>937</v>
      </c>
      <c r="M80" s="132">
        <v>45096</v>
      </c>
      <c r="N80" t="s">
        <v>728</v>
      </c>
      <c r="O80" t="s">
        <v>704</v>
      </c>
      <c r="P80">
        <v>40172880</v>
      </c>
      <c r="Q80" t="s">
        <v>939</v>
      </c>
      <c r="R80" t="s">
        <v>942</v>
      </c>
      <c r="S80" t="s">
        <v>678</v>
      </c>
      <c r="T80" cm="1">
        <f t="array" aca="1" ref="T80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81" spans="1:20" ht="15">
      <c r="A81" s="132" t="s">
        <v>666</v>
      </c>
      <c r="B81" s="132" t="s">
        <v>667</v>
      </c>
      <c r="C81">
        <v>40182881</v>
      </c>
      <c r="D81" t="s">
        <v>440</v>
      </c>
      <c r="E81" t="s">
        <v>668</v>
      </c>
      <c r="F81">
        <v>5031</v>
      </c>
      <c r="G81" t="s">
        <v>669</v>
      </c>
      <c r="H81" s="2" t="s">
        <v>943</v>
      </c>
      <c r="I81" s="2">
        <v>20009</v>
      </c>
      <c r="J81" t="s">
        <v>671</v>
      </c>
      <c r="K81" t="s">
        <v>944</v>
      </c>
      <c r="L81" t="s">
        <v>945</v>
      </c>
      <c r="M81" s="132">
        <v>40861</v>
      </c>
      <c r="N81" t="s">
        <v>946</v>
      </c>
      <c r="O81" t="s">
        <v>675</v>
      </c>
      <c r="P81">
        <v>40172715</v>
      </c>
      <c r="Q81" t="s">
        <v>676</v>
      </c>
      <c r="R81" t="s">
        <v>947</v>
      </c>
      <c r="S81" t="s">
        <v>678</v>
      </c>
      <c r="T81" cm="1">
        <f t="array" aca="1" ref="T81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82" spans="1:20" ht="15">
      <c r="A82" s="132" t="s">
        <v>666</v>
      </c>
      <c r="B82" s="132" t="s">
        <v>667</v>
      </c>
      <c r="C82">
        <v>40199682</v>
      </c>
      <c r="D82" t="s">
        <v>948</v>
      </c>
      <c r="E82" t="s">
        <v>668</v>
      </c>
      <c r="F82">
        <v>5031</v>
      </c>
      <c r="G82" t="s">
        <v>669</v>
      </c>
      <c r="H82" s="2" t="s">
        <v>949</v>
      </c>
      <c r="I82" s="2">
        <v>20009</v>
      </c>
      <c r="J82" t="s">
        <v>671</v>
      </c>
      <c r="K82" t="s">
        <v>944</v>
      </c>
      <c r="L82" t="s">
        <v>945</v>
      </c>
      <c r="M82" s="132">
        <v>41113</v>
      </c>
      <c r="N82" t="s">
        <v>938</v>
      </c>
      <c r="O82" t="s">
        <v>675</v>
      </c>
      <c r="P82">
        <v>40172715</v>
      </c>
      <c r="Q82" t="s">
        <v>676</v>
      </c>
      <c r="R82" t="s">
        <v>950</v>
      </c>
      <c r="S82" t="s">
        <v>678</v>
      </c>
      <c r="T82" cm="1">
        <f t="array" aca="1" ref="T82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83" spans="1:20" ht="15">
      <c r="A83" s="132" t="s">
        <v>666</v>
      </c>
      <c r="B83" s="132" t="s">
        <v>667</v>
      </c>
      <c r="C83">
        <v>80189683</v>
      </c>
      <c r="D83" t="s">
        <v>557</v>
      </c>
      <c r="E83" t="s">
        <v>668</v>
      </c>
      <c r="F83">
        <v>5031</v>
      </c>
      <c r="G83" t="s">
        <v>669</v>
      </c>
      <c r="H83" s="2" t="s">
        <v>951</v>
      </c>
      <c r="I83" s="2">
        <v>20009</v>
      </c>
      <c r="J83" t="s">
        <v>671</v>
      </c>
      <c r="K83" t="s">
        <v>944</v>
      </c>
      <c r="L83" t="s">
        <v>945</v>
      </c>
      <c r="M83" s="132">
        <v>43619</v>
      </c>
      <c r="N83" t="s">
        <v>952</v>
      </c>
      <c r="O83" t="s">
        <v>704</v>
      </c>
      <c r="P83">
        <v>40172715</v>
      </c>
      <c r="Q83" t="s">
        <v>676</v>
      </c>
      <c r="R83" t="s">
        <v>953</v>
      </c>
      <c r="S83" t="s">
        <v>678</v>
      </c>
      <c r="T83" cm="1">
        <f t="array" aca="1" ref="T83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84" spans="1:20" ht="15">
      <c r="A84" s="132" t="s">
        <v>666</v>
      </c>
      <c r="B84" s="132" t="s">
        <v>667</v>
      </c>
      <c r="C84">
        <v>81200617</v>
      </c>
      <c r="D84" t="s">
        <v>607</v>
      </c>
      <c r="E84" t="s">
        <v>668</v>
      </c>
      <c r="F84">
        <v>5179</v>
      </c>
      <c r="G84" t="s">
        <v>685</v>
      </c>
      <c r="H84" s="2" t="s">
        <v>954</v>
      </c>
      <c r="I84" s="2">
        <v>20009</v>
      </c>
      <c r="J84" t="s">
        <v>671</v>
      </c>
      <c r="K84" t="s">
        <v>944</v>
      </c>
      <c r="L84" t="s">
        <v>945</v>
      </c>
      <c r="M84" s="132">
        <v>45698</v>
      </c>
      <c r="N84" t="s">
        <v>955</v>
      </c>
      <c r="O84" t="s">
        <v>675</v>
      </c>
      <c r="P84">
        <v>40172715</v>
      </c>
      <c r="Q84" t="s">
        <v>676</v>
      </c>
      <c r="R84" t="s">
        <v>956</v>
      </c>
      <c r="S84" t="s">
        <v>678</v>
      </c>
      <c r="T84" cm="1">
        <f t="array" aca="1" ref="T84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85" spans="1:20" ht="15">
      <c r="A85" s="132" t="s">
        <v>666</v>
      </c>
      <c r="B85" s="132" t="s">
        <v>667</v>
      </c>
      <c r="C85">
        <v>40192597</v>
      </c>
      <c r="D85" t="s">
        <v>317</v>
      </c>
      <c r="E85" t="s">
        <v>668</v>
      </c>
      <c r="F85">
        <v>5414</v>
      </c>
      <c r="G85" t="s">
        <v>756</v>
      </c>
      <c r="H85" s="2" t="s">
        <v>957</v>
      </c>
      <c r="I85" s="2">
        <v>20009</v>
      </c>
      <c r="J85" t="s">
        <v>671</v>
      </c>
      <c r="K85" t="s">
        <v>958</v>
      </c>
      <c r="L85" t="s">
        <v>959</v>
      </c>
      <c r="M85" s="132">
        <v>41102</v>
      </c>
      <c r="N85" t="s">
        <v>960</v>
      </c>
      <c r="O85" t="s">
        <v>759</v>
      </c>
      <c r="P85">
        <v>40172715</v>
      </c>
      <c r="Q85" t="s">
        <v>676</v>
      </c>
      <c r="R85" t="s">
        <v>961</v>
      </c>
      <c r="S85" t="s">
        <v>678</v>
      </c>
      <c r="T85" cm="1">
        <f t="array" aca="1" ref="T85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86" spans="1:20" ht="15">
      <c r="A86" s="132" t="s">
        <v>666</v>
      </c>
      <c r="B86" s="132" t="s">
        <v>667</v>
      </c>
      <c r="C86">
        <v>40172715</v>
      </c>
      <c r="D86" t="s">
        <v>676</v>
      </c>
      <c r="E86" t="s">
        <v>668</v>
      </c>
      <c r="F86">
        <v>1983</v>
      </c>
      <c r="G86" t="s">
        <v>962</v>
      </c>
      <c r="H86" s="2" t="s">
        <v>963</v>
      </c>
      <c r="I86" s="2">
        <v>20009</v>
      </c>
      <c r="J86" t="s">
        <v>671</v>
      </c>
      <c r="K86" t="s">
        <v>958</v>
      </c>
      <c r="L86" t="s">
        <v>959</v>
      </c>
      <c r="M86" s="132">
        <v>40665</v>
      </c>
      <c r="N86" t="s">
        <v>964</v>
      </c>
      <c r="O86" t="s">
        <v>894</v>
      </c>
      <c r="P86">
        <v>80106396</v>
      </c>
      <c r="Q86" t="s">
        <v>965</v>
      </c>
      <c r="R86" t="s">
        <v>966</v>
      </c>
      <c r="S86" t="s">
        <v>678</v>
      </c>
      <c r="T86" cm="1">
        <f t="array" aca="1" ref="T86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87" spans="1:20" ht="15">
      <c r="A87" s="132" t="s">
        <v>666</v>
      </c>
      <c r="B87" s="132" t="s">
        <v>967</v>
      </c>
      <c r="C87">
        <v>40201957</v>
      </c>
      <c r="D87" t="s">
        <v>431</v>
      </c>
      <c r="E87" t="s">
        <v>668</v>
      </c>
      <c r="F87">
        <v>5464</v>
      </c>
      <c r="G87" t="s">
        <v>968</v>
      </c>
      <c r="H87" s="2" t="s">
        <v>969</v>
      </c>
      <c r="I87" s="2">
        <v>20009</v>
      </c>
      <c r="J87" t="s">
        <v>671</v>
      </c>
      <c r="K87" t="s">
        <v>626</v>
      </c>
      <c r="L87" t="s">
        <v>970</v>
      </c>
      <c r="M87" s="132">
        <v>41166</v>
      </c>
      <c r="N87" t="s">
        <v>971</v>
      </c>
      <c r="O87" t="s">
        <v>759</v>
      </c>
      <c r="P87">
        <v>80176421</v>
      </c>
      <c r="Q87" t="s">
        <v>972</v>
      </c>
      <c r="R87" t="s">
        <v>973</v>
      </c>
      <c r="S87" t="s">
        <v>678</v>
      </c>
      <c r="T87" cm="1">
        <f t="array" aca="1" ref="T87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88" spans="1:20" ht="15">
      <c r="A88" s="132" t="s">
        <v>666</v>
      </c>
      <c r="B88" s="132" t="s">
        <v>967</v>
      </c>
      <c r="C88">
        <v>81240608</v>
      </c>
      <c r="D88" t="s">
        <v>974</v>
      </c>
      <c r="E88" t="s">
        <v>668</v>
      </c>
      <c r="F88">
        <v>5464</v>
      </c>
      <c r="G88" t="s">
        <v>968</v>
      </c>
      <c r="H88" s="2" t="s">
        <v>975</v>
      </c>
      <c r="I88" s="2">
        <v>20009</v>
      </c>
      <c r="J88" t="s">
        <v>671</v>
      </c>
      <c r="K88" t="s">
        <v>626</v>
      </c>
      <c r="L88" t="s">
        <v>970</v>
      </c>
      <c r="M88" s="132">
        <v>45936</v>
      </c>
      <c r="N88" t="s">
        <v>976</v>
      </c>
      <c r="O88" t="s">
        <v>704</v>
      </c>
      <c r="P88">
        <v>80176421</v>
      </c>
      <c r="Q88" t="s">
        <v>972</v>
      </c>
      <c r="R88" t="s">
        <v>977</v>
      </c>
      <c r="S88" t="s">
        <v>978</v>
      </c>
      <c r="T88" cm="1">
        <f t="array" aca="1" ref="T88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89" spans="1:20" ht="15">
      <c r="A89" s="132" t="s">
        <v>666</v>
      </c>
      <c r="B89" s="132" t="s">
        <v>667</v>
      </c>
      <c r="C89">
        <v>40177898</v>
      </c>
      <c r="D89" t="s">
        <v>979</v>
      </c>
      <c r="E89" t="s">
        <v>668</v>
      </c>
      <c r="F89">
        <v>5181</v>
      </c>
      <c r="G89" t="s">
        <v>980</v>
      </c>
      <c r="H89" s="2" t="s">
        <v>981</v>
      </c>
      <c r="I89" s="2">
        <v>20009</v>
      </c>
      <c r="J89" t="s">
        <v>671</v>
      </c>
      <c r="K89" t="s">
        <v>982</v>
      </c>
      <c r="L89" t="s">
        <v>983</v>
      </c>
      <c r="M89" s="132">
        <v>40770</v>
      </c>
      <c r="N89" t="s">
        <v>984</v>
      </c>
      <c r="O89" t="s">
        <v>759</v>
      </c>
      <c r="P89">
        <v>20203635</v>
      </c>
      <c r="Q89" t="s">
        <v>985</v>
      </c>
      <c r="R89" t="s">
        <v>986</v>
      </c>
      <c r="S89" t="s">
        <v>678</v>
      </c>
      <c r="T89" cm="1">
        <f t="array" aca="1" ref="T89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90" spans="1:20" ht="15">
      <c r="A90" s="132" t="s">
        <v>932</v>
      </c>
      <c r="B90" s="132" t="s">
        <v>933</v>
      </c>
      <c r="C90">
        <v>40172880</v>
      </c>
      <c r="D90" t="s">
        <v>939</v>
      </c>
      <c r="E90" t="s">
        <v>668</v>
      </c>
      <c r="F90">
        <v>1916</v>
      </c>
      <c r="G90" t="s">
        <v>987</v>
      </c>
      <c r="H90" s="2" t="s">
        <v>988</v>
      </c>
      <c r="I90" s="2">
        <v>20009</v>
      </c>
      <c r="J90" t="s">
        <v>671</v>
      </c>
      <c r="K90" t="s">
        <v>989</v>
      </c>
      <c r="L90" t="s">
        <v>990</v>
      </c>
      <c r="M90" s="132">
        <v>40665</v>
      </c>
      <c r="N90" t="s">
        <v>740</v>
      </c>
      <c r="O90" t="s">
        <v>894</v>
      </c>
      <c r="P90">
        <v>80187066</v>
      </c>
      <c r="Q90" t="s">
        <v>991</v>
      </c>
      <c r="R90" t="s">
        <v>992</v>
      </c>
      <c r="S90" t="s">
        <v>678</v>
      </c>
      <c r="T90" cm="1">
        <f t="array" aca="1" ref="T90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91" spans="1:20" ht="15">
      <c r="A91" s="132" t="s">
        <v>932</v>
      </c>
      <c r="B91" s="132" t="s">
        <v>933</v>
      </c>
      <c r="C91">
        <v>40172548</v>
      </c>
      <c r="D91" t="s">
        <v>629</v>
      </c>
      <c r="E91" t="s">
        <v>668</v>
      </c>
      <c r="F91">
        <v>1889</v>
      </c>
      <c r="G91" t="s">
        <v>993</v>
      </c>
      <c r="H91" s="2" t="s">
        <v>994</v>
      </c>
      <c r="I91" s="2">
        <v>20009</v>
      </c>
      <c r="J91" t="s">
        <v>671</v>
      </c>
      <c r="K91" t="s">
        <v>989</v>
      </c>
      <c r="L91" t="s">
        <v>990</v>
      </c>
      <c r="M91" s="132">
        <v>40665</v>
      </c>
      <c r="N91" t="s">
        <v>952</v>
      </c>
      <c r="O91" t="s">
        <v>759</v>
      </c>
      <c r="P91">
        <v>40172880</v>
      </c>
      <c r="Q91" t="s">
        <v>939</v>
      </c>
      <c r="R91" t="s">
        <v>995</v>
      </c>
      <c r="S91" t="s">
        <v>678</v>
      </c>
      <c r="T91" cm="1">
        <f t="array" aca="1" ref="T91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92" spans="1:20" ht="15">
      <c r="A92" s="132" t="s">
        <v>932</v>
      </c>
      <c r="B92" s="132" t="s">
        <v>933</v>
      </c>
      <c r="C92">
        <v>40182248</v>
      </c>
      <c r="D92" t="s">
        <v>424</v>
      </c>
      <c r="E92" t="s">
        <v>668</v>
      </c>
      <c r="F92">
        <v>1881</v>
      </c>
      <c r="G92" t="s">
        <v>934</v>
      </c>
      <c r="H92" s="2" t="s">
        <v>996</v>
      </c>
      <c r="I92" s="2">
        <v>20009</v>
      </c>
      <c r="J92" t="s">
        <v>671</v>
      </c>
      <c r="K92" t="s">
        <v>989</v>
      </c>
      <c r="L92" t="s">
        <v>990</v>
      </c>
      <c r="M92" s="132">
        <v>40861</v>
      </c>
      <c r="N92" t="s">
        <v>997</v>
      </c>
      <c r="O92" t="s">
        <v>704</v>
      </c>
      <c r="P92">
        <v>40172880</v>
      </c>
      <c r="Q92" t="s">
        <v>939</v>
      </c>
      <c r="R92" t="s">
        <v>998</v>
      </c>
      <c r="S92" t="s">
        <v>678</v>
      </c>
      <c r="T92" cm="1">
        <f t="array" aca="1" ref="T92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93" spans="1:20" ht="15">
      <c r="A93" s="132" t="s">
        <v>932</v>
      </c>
      <c r="B93" s="132" t="s">
        <v>933</v>
      </c>
      <c r="C93">
        <v>40185829</v>
      </c>
      <c r="D93" t="s">
        <v>509</v>
      </c>
      <c r="E93" t="s">
        <v>668</v>
      </c>
      <c r="F93">
        <v>1881</v>
      </c>
      <c r="G93" t="s">
        <v>934</v>
      </c>
      <c r="H93" s="2" t="s">
        <v>999</v>
      </c>
      <c r="I93" s="2">
        <v>20009</v>
      </c>
      <c r="J93" t="s">
        <v>671</v>
      </c>
      <c r="K93" t="s">
        <v>989</v>
      </c>
      <c r="L93" t="s">
        <v>990</v>
      </c>
      <c r="M93" s="132">
        <v>40948</v>
      </c>
      <c r="N93" t="s">
        <v>1000</v>
      </c>
      <c r="O93" t="s">
        <v>759</v>
      </c>
      <c r="P93">
        <v>40172880</v>
      </c>
      <c r="Q93" t="s">
        <v>939</v>
      </c>
      <c r="R93" t="s">
        <v>1001</v>
      </c>
      <c r="S93" t="s">
        <v>678</v>
      </c>
      <c r="T93" cm="1">
        <f t="array" aca="1" ref="T93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94" spans="1:20" ht="15">
      <c r="A94" s="132" t="s">
        <v>932</v>
      </c>
      <c r="B94" s="132" t="s">
        <v>933</v>
      </c>
      <c r="C94">
        <v>40280015</v>
      </c>
      <c r="D94" t="s">
        <v>513</v>
      </c>
      <c r="E94" t="s">
        <v>668</v>
      </c>
      <c r="F94">
        <v>1881</v>
      </c>
      <c r="G94" t="s">
        <v>934</v>
      </c>
      <c r="H94" s="2" t="s">
        <v>1002</v>
      </c>
      <c r="I94" s="2">
        <v>20009</v>
      </c>
      <c r="J94" t="s">
        <v>671</v>
      </c>
      <c r="K94" t="s">
        <v>989</v>
      </c>
      <c r="L94" t="s">
        <v>990</v>
      </c>
      <c r="M94" s="132">
        <v>41869</v>
      </c>
      <c r="N94" t="s">
        <v>1003</v>
      </c>
      <c r="O94" t="s">
        <v>675</v>
      </c>
      <c r="P94">
        <v>40172880</v>
      </c>
      <c r="Q94" t="s">
        <v>939</v>
      </c>
      <c r="R94" t="s">
        <v>1004</v>
      </c>
      <c r="S94" t="s">
        <v>678</v>
      </c>
      <c r="T94" cm="1">
        <f t="array" aca="1" ref="T94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95" spans="1:20" ht="15">
      <c r="A95" s="132" t="s">
        <v>932</v>
      </c>
      <c r="B95" s="132" t="s">
        <v>933</v>
      </c>
      <c r="C95">
        <v>80852123</v>
      </c>
      <c r="D95" t="s">
        <v>280</v>
      </c>
      <c r="E95" t="s">
        <v>668</v>
      </c>
      <c r="F95">
        <v>1881</v>
      </c>
      <c r="G95" t="s">
        <v>934</v>
      </c>
      <c r="H95" s="2" t="s">
        <v>1005</v>
      </c>
      <c r="I95" s="2">
        <v>20009</v>
      </c>
      <c r="J95" t="s">
        <v>671</v>
      </c>
      <c r="K95" t="s">
        <v>989</v>
      </c>
      <c r="L95" t="s">
        <v>990</v>
      </c>
      <c r="M95" s="132">
        <v>44382</v>
      </c>
      <c r="N95" t="s">
        <v>1006</v>
      </c>
      <c r="O95" t="s">
        <v>675</v>
      </c>
      <c r="P95">
        <v>40172880</v>
      </c>
      <c r="Q95" t="s">
        <v>939</v>
      </c>
      <c r="R95" t="s">
        <v>1007</v>
      </c>
      <c r="S95" t="s">
        <v>678</v>
      </c>
      <c r="T95" cm="1">
        <f t="array" aca="1" ref="T95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96" spans="1:20" ht="15">
      <c r="A96" s="132" t="s">
        <v>666</v>
      </c>
      <c r="B96" s="132" t="s">
        <v>667</v>
      </c>
      <c r="C96">
        <v>80106396</v>
      </c>
      <c r="D96" t="s">
        <v>965</v>
      </c>
      <c r="E96" t="s">
        <v>668</v>
      </c>
      <c r="F96">
        <v>1968</v>
      </c>
      <c r="G96" t="s">
        <v>962</v>
      </c>
      <c r="H96" s="2" t="s">
        <v>1008</v>
      </c>
      <c r="I96" s="2">
        <v>20009</v>
      </c>
      <c r="J96" t="s">
        <v>671</v>
      </c>
      <c r="K96" t="s">
        <v>1009</v>
      </c>
      <c r="L96" t="s">
        <v>1010</v>
      </c>
      <c r="M96" s="132">
        <v>43171</v>
      </c>
      <c r="N96" t="s">
        <v>1011</v>
      </c>
      <c r="O96" t="s">
        <v>894</v>
      </c>
      <c r="P96">
        <v>40189992</v>
      </c>
      <c r="Q96" t="s">
        <v>1012</v>
      </c>
      <c r="R96" t="s">
        <v>1013</v>
      </c>
      <c r="S96" t="s">
        <v>678</v>
      </c>
      <c r="T96" cm="1">
        <f t="array" aca="1" ref="T96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97" spans="1:20" ht="15">
      <c r="A97" s="132" t="s">
        <v>666</v>
      </c>
      <c r="B97" s="132" t="s">
        <v>667</v>
      </c>
      <c r="C97">
        <v>81218214</v>
      </c>
      <c r="D97" t="s">
        <v>207</v>
      </c>
      <c r="E97" t="s">
        <v>668</v>
      </c>
      <c r="F97">
        <v>1962</v>
      </c>
      <c r="G97" t="s">
        <v>1014</v>
      </c>
      <c r="H97" s="2" t="s">
        <v>1015</v>
      </c>
      <c r="I97" s="2">
        <v>20009</v>
      </c>
      <c r="J97" t="s">
        <v>671</v>
      </c>
      <c r="K97" t="s">
        <v>1016</v>
      </c>
      <c r="L97" t="s">
        <v>1017</v>
      </c>
      <c r="M97" s="132">
        <v>45789</v>
      </c>
      <c r="N97" t="s">
        <v>1018</v>
      </c>
      <c r="O97" t="s">
        <v>675</v>
      </c>
      <c r="P97">
        <v>81223120</v>
      </c>
      <c r="Q97" t="s">
        <v>418</v>
      </c>
      <c r="R97" t="s">
        <v>1019</v>
      </c>
      <c r="S97" t="s">
        <v>678</v>
      </c>
      <c r="T97" cm="1">
        <f t="array" aca="1" ref="T97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98" spans="1:20" ht="15">
      <c r="A98" s="132" t="s">
        <v>666</v>
      </c>
      <c r="B98" s="132" t="s">
        <v>667</v>
      </c>
      <c r="C98">
        <v>40175810</v>
      </c>
      <c r="D98" t="s">
        <v>531</v>
      </c>
      <c r="E98" t="s">
        <v>668</v>
      </c>
      <c r="F98">
        <v>1943</v>
      </c>
      <c r="G98" t="s">
        <v>1020</v>
      </c>
      <c r="H98" s="2" t="s">
        <v>1021</v>
      </c>
      <c r="I98" s="2">
        <v>20009</v>
      </c>
      <c r="J98" t="s">
        <v>671</v>
      </c>
      <c r="K98" t="s">
        <v>1016</v>
      </c>
      <c r="L98" t="s">
        <v>1017</v>
      </c>
      <c r="M98" s="132">
        <v>40756</v>
      </c>
      <c r="N98" t="s">
        <v>778</v>
      </c>
      <c r="O98" t="s">
        <v>704</v>
      </c>
      <c r="P98">
        <v>81223120</v>
      </c>
      <c r="Q98" t="s">
        <v>418</v>
      </c>
      <c r="R98" t="s">
        <v>1022</v>
      </c>
      <c r="S98" t="s">
        <v>678</v>
      </c>
      <c r="T98" cm="1">
        <f t="array" aca="1" ref="T98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99" spans="1:20" ht="15">
      <c r="A99" s="132" t="s">
        <v>666</v>
      </c>
      <c r="B99" s="132" t="s">
        <v>667</v>
      </c>
      <c r="C99">
        <v>40221612</v>
      </c>
      <c r="D99" t="s">
        <v>325</v>
      </c>
      <c r="E99" t="s">
        <v>668</v>
      </c>
      <c r="F99">
        <v>5088</v>
      </c>
      <c r="G99" t="s">
        <v>1023</v>
      </c>
      <c r="H99" s="2" t="s">
        <v>1024</v>
      </c>
      <c r="I99" s="2">
        <v>20009</v>
      </c>
      <c r="J99" t="s">
        <v>671</v>
      </c>
      <c r="K99" t="s">
        <v>1016</v>
      </c>
      <c r="L99" t="s">
        <v>1017</v>
      </c>
      <c r="M99" s="132">
        <v>41561</v>
      </c>
      <c r="N99" t="s">
        <v>1025</v>
      </c>
      <c r="O99" t="s">
        <v>704</v>
      </c>
      <c r="P99">
        <v>81223120</v>
      </c>
      <c r="Q99" t="s">
        <v>418</v>
      </c>
      <c r="R99" t="s">
        <v>1026</v>
      </c>
      <c r="S99" t="s">
        <v>678</v>
      </c>
      <c r="T99" cm="1">
        <f t="array" aca="1" ref="T99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00" spans="1:20" ht="15">
      <c r="A100" s="132" t="s">
        <v>666</v>
      </c>
      <c r="B100" s="132" t="s">
        <v>667</v>
      </c>
      <c r="C100">
        <v>40172746</v>
      </c>
      <c r="D100" t="s">
        <v>98</v>
      </c>
      <c r="E100" t="s">
        <v>668</v>
      </c>
      <c r="F100">
        <v>1971</v>
      </c>
      <c r="G100" t="s">
        <v>1027</v>
      </c>
      <c r="H100" s="2" t="s">
        <v>1028</v>
      </c>
      <c r="I100" s="2">
        <v>20009</v>
      </c>
      <c r="J100" t="s">
        <v>671</v>
      </c>
      <c r="K100" t="s">
        <v>1016</v>
      </c>
      <c r="L100" t="s">
        <v>1017</v>
      </c>
      <c r="M100" s="132">
        <v>40665</v>
      </c>
      <c r="N100" t="s">
        <v>1029</v>
      </c>
      <c r="O100" t="s">
        <v>759</v>
      </c>
      <c r="P100">
        <v>81223120</v>
      </c>
      <c r="Q100" t="s">
        <v>418</v>
      </c>
      <c r="R100" t="s">
        <v>1030</v>
      </c>
      <c r="S100" t="s">
        <v>678</v>
      </c>
      <c r="T100" cm="1">
        <f t="array" aca="1" ref="T100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01" spans="1:20" ht="15">
      <c r="A101" s="132" t="s">
        <v>666</v>
      </c>
      <c r="B101" s="132" t="s">
        <v>667</v>
      </c>
      <c r="C101">
        <v>40177292</v>
      </c>
      <c r="D101" t="s">
        <v>1031</v>
      </c>
      <c r="E101" t="s">
        <v>668</v>
      </c>
      <c r="F101">
        <v>1943</v>
      </c>
      <c r="G101" t="s">
        <v>1020</v>
      </c>
      <c r="H101" s="2" t="s">
        <v>1032</v>
      </c>
      <c r="I101" s="2">
        <v>20009</v>
      </c>
      <c r="J101" t="s">
        <v>671</v>
      </c>
      <c r="K101" t="s">
        <v>1016</v>
      </c>
      <c r="L101" t="s">
        <v>1017</v>
      </c>
      <c r="M101" s="132">
        <v>40756</v>
      </c>
      <c r="N101" t="s">
        <v>1033</v>
      </c>
      <c r="O101" t="s">
        <v>675</v>
      </c>
      <c r="P101">
        <v>81223120</v>
      </c>
      <c r="Q101" t="s">
        <v>418</v>
      </c>
      <c r="R101" t="s">
        <v>1034</v>
      </c>
      <c r="S101" t="s">
        <v>742</v>
      </c>
      <c r="T101" cm="1">
        <f t="array" aca="1" ref="T101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02" spans="1:20" ht="15">
      <c r="A102" s="132" t="s">
        <v>666</v>
      </c>
      <c r="B102" s="132" t="s">
        <v>667</v>
      </c>
      <c r="C102">
        <v>80258585</v>
      </c>
      <c r="D102" t="s">
        <v>186</v>
      </c>
      <c r="E102" t="s">
        <v>668</v>
      </c>
      <c r="F102">
        <v>1953</v>
      </c>
      <c r="G102" t="s">
        <v>1035</v>
      </c>
      <c r="H102" s="2" t="s">
        <v>1036</v>
      </c>
      <c r="I102" s="2">
        <v>20009</v>
      </c>
      <c r="J102" t="s">
        <v>671</v>
      </c>
      <c r="K102" t="s">
        <v>1016</v>
      </c>
      <c r="L102" t="s">
        <v>1017</v>
      </c>
      <c r="M102" s="132">
        <v>43997</v>
      </c>
      <c r="N102" t="s">
        <v>1037</v>
      </c>
      <c r="O102" t="s">
        <v>772</v>
      </c>
      <c r="P102">
        <v>81223120</v>
      </c>
      <c r="Q102" t="s">
        <v>418</v>
      </c>
      <c r="R102" t="s">
        <v>1038</v>
      </c>
      <c r="S102" t="s">
        <v>678</v>
      </c>
      <c r="T102" cm="1">
        <f t="array" aca="1" ref="T102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03" spans="1:20" ht="15">
      <c r="A103" s="132" t="s">
        <v>666</v>
      </c>
      <c r="B103" s="132" t="s">
        <v>667</v>
      </c>
      <c r="C103">
        <v>80872720</v>
      </c>
      <c r="D103" t="s">
        <v>336</v>
      </c>
      <c r="E103" t="s">
        <v>668</v>
      </c>
      <c r="F103">
        <v>1962</v>
      </c>
      <c r="G103" t="s">
        <v>1014</v>
      </c>
      <c r="H103" s="2" t="s">
        <v>1039</v>
      </c>
      <c r="I103" s="2">
        <v>20009</v>
      </c>
      <c r="J103" t="s">
        <v>671</v>
      </c>
      <c r="K103" t="s">
        <v>1016</v>
      </c>
      <c r="L103" t="s">
        <v>1017</v>
      </c>
      <c r="M103" s="132">
        <v>44459</v>
      </c>
      <c r="N103" t="s">
        <v>1040</v>
      </c>
      <c r="O103" t="s">
        <v>772</v>
      </c>
      <c r="P103">
        <v>81223120</v>
      </c>
      <c r="Q103" t="s">
        <v>418</v>
      </c>
      <c r="R103" t="s">
        <v>1041</v>
      </c>
      <c r="S103" t="s">
        <v>678</v>
      </c>
      <c r="T103" cm="1">
        <f t="array" aca="1" ref="T103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04" spans="1:20" ht="15">
      <c r="A104" s="132" t="s">
        <v>666</v>
      </c>
      <c r="B104" s="132" t="s">
        <v>667</v>
      </c>
      <c r="C104">
        <v>81130135</v>
      </c>
      <c r="D104" t="s">
        <v>616</v>
      </c>
      <c r="E104" t="s">
        <v>668</v>
      </c>
      <c r="F104">
        <v>1943</v>
      </c>
      <c r="G104" t="s">
        <v>1020</v>
      </c>
      <c r="H104" s="2" t="s">
        <v>1042</v>
      </c>
      <c r="I104" s="2">
        <v>20009</v>
      </c>
      <c r="J104" t="s">
        <v>671</v>
      </c>
      <c r="K104" t="s">
        <v>1016</v>
      </c>
      <c r="L104" t="s">
        <v>1017</v>
      </c>
      <c r="M104" s="132">
        <v>45355</v>
      </c>
      <c r="N104" t="s">
        <v>1043</v>
      </c>
      <c r="O104" t="s">
        <v>675</v>
      </c>
      <c r="P104">
        <v>81223120</v>
      </c>
      <c r="Q104" t="s">
        <v>418</v>
      </c>
      <c r="R104" t="s">
        <v>1044</v>
      </c>
      <c r="S104" t="s">
        <v>678</v>
      </c>
      <c r="T104" cm="1">
        <f t="array" aca="1" ref="T104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05" spans="1:20" ht="15">
      <c r="A105" s="132" t="s">
        <v>666</v>
      </c>
      <c r="B105" s="132" t="s">
        <v>667</v>
      </c>
      <c r="C105">
        <v>81193221</v>
      </c>
      <c r="D105" t="s">
        <v>297</v>
      </c>
      <c r="E105" t="s">
        <v>668</v>
      </c>
      <c r="F105">
        <v>1953</v>
      </c>
      <c r="G105" t="s">
        <v>1035</v>
      </c>
      <c r="H105" s="2" t="s">
        <v>1045</v>
      </c>
      <c r="I105" s="2">
        <v>20009</v>
      </c>
      <c r="J105" t="s">
        <v>671</v>
      </c>
      <c r="K105" t="s">
        <v>1016</v>
      </c>
      <c r="L105" t="s">
        <v>1017</v>
      </c>
      <c r="M105" s="132">
        <v>45663</v>
      </c>
      <c r="N105" t="s">
        <v>1046</v>
      </c>
      <c r="O105" t="s">
        <v>772</v>
      </c>
      <c r="P105">
        <v>81223120</v>
      </c>
      <c r="Q105" t="s">
        <v>418</v>
      </c>
      <c r="R105" t="s">
        <v>1047</v>
      </c>
      <c r="S105" t="s">
        <v>678</v>
      </c>
      <c r="T105" cm="1">
        <f t="array" aca="1" ref="T105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06" spans="1:20" ht="15">
      <c r="A106" s="132" t="s">
        <v>666</v>
      </c>
      <c r="B106" s="132" t="s">
        <v>667</v>
      </c>
      <c r="C106">
        <v>81194238</v>
      </c>
      <c r="D106" t="s">
        <v>1048</v>
      </c>
      <c r="E106" t="s">
        <v>668</v>
      </c>
      <c r="F106">
        <v>1953</v>
      </c>
      <c r="G106" t="s">
        <v>1035</v>
      </c>
      <c r="H106" s="2" t="s">
        <v>1049</v>
      </c>
      <c r="I106" s="2">
        <v>20009</v>
      </c>
      <c r="J106" t="s">
        <v>671</v>
      </c>
      <c r="K106" t="s">
        <v>1016</v>
      </c>
      <c r="L106" t="s">
        <v>1017</v>
      </c>
      <c r="M106" s="132">
        <v>45670</v>
      </c>
      <c r="N106" t="s">
        <v>1050</v>
      </c>
      <c r="O106" t="s">
        <v>675</v>
      </c>
      <c r="P106">
        <v>81223120</v>
      </c>
      <c r="Q106" t="s">
        <v>418</v>
      </c>
      <c r="R106" t="s">
        <v>1051</v>
      </c>
      <c r="S106" t="s">
        <v>678</v>
      </c>
      <c r="T106" cm="1">
        <f t="array" aca="1" ref="T106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07" spans="1:20" ht="15">
      <c r="A107" s="132" t="s">
        <v>666</v>
      </c>
      <c r="B107" s="132" t="s">
        <v>667</v>
      </c>
      <c r="C107">
        <v>81211221</v>
      </c>
      <c r="D107" t="s">
        <v>1052</v>
      </c>
      <c r="E107" t="s">
        <v>668</v>
      </c>
      <c r="F107">
        <v>2133</v>
      </c>
      <c r="G107" t="s">
        <v>1053</v>
      </c>
      <c r="H107" s="2" t="s">
        <v>1054</v>
      </c>
      <c r="I107" s="2">
        <v>20009</v>
      </c>
      <c r="J107" t="s">
        <v>671</v>
      </c>
      <c r="K107" t="s">
        <v>1016</v>
      </c>
      <c r="L107" t="s">
        <v>1017</v>
      </c>
      <c r="M107" s="132">
        <v>45754</v>
      </c>
      <c r="N107" t="s">
        <v>1055</v>
      </c>
      <c r="O107" t="s">
        <v>759</v>
      </c>
      <c r="P107">
        <v>81224859</v>
      </c>
      <c r="Q107" t="s">
        <v>1056</v>
      </c>
      <c r="R107" t="s">
        <v>1057</v>
      </c>
      <c r="S107" t="s">
        <v>678</v>
      </c>
      <c r="T107" cm="1">
        <f t="array" aca="1" ref="T107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08" spans="1:20" ht="15">
      <c r="A108" s="132" t="s">
        <v>666</v>
      </c>
      <c r="B108" s="132" t="s">
        <v>667</v>
      </c>
      <c r="C108">
        <v>81217372</v>
      </c>
      <c r="D108" t="s">
        <v>612</v>
      </c>
      <c r="E108" t="s">
        <v>668</v>
      </c>
      <c r="F108">
        <v>1953</v>
      </c>
      <c r="G108" t="s">
        <v>1035</v>
      </c>
      <c r="H108" s="2" t="s">
        <v>1058</v>
      </c>
      <c r="I108" s="2">
        <v>20009</v>
      </c>
      <c r="J108" t="s">
        <v>671</v>
      </c>
      <c r="K108" t="s">
        <v>1016</v>
      </c>
      <c r="L108" t="s">
        <v>1017</v>
      </c>
      <c r="M108" s="132">
        <v>45782</v>
      </c>
      <c r="N108" t="s">
        <v>1059</v>
      </c>
      <c r="O108" t="s">
        <v>704</v>
      </c>
      <c r="P108">
        <v>81223120</v>
      </c>
      <c r="Q108" t="s">
        <v>418</v>
      </c>
      <c r="R108" t="s">
        <v>1060</v>
      </c>
      <c r="S108" t="s">
        <v>678</v>
      </c>
      <c r="T108" cm="1">
        <f t="array" aca="1" ref="T108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09" spans="1:20" ht="15">
      <c r="A109" s="132" t="s">
        <v>666</v>
      </c>
      <c r="B109" s="132" t="s">
        <v>667</v>
      </c>
      <c r="C109">
        <v>81223120</v>
      </c>
      <c r="D109" t="s">
        <v>418</v>
      </c>
      <c r="E109" t="s">
        <v>668</v>
      </c>
      <c r="F109">
        <v>1952</v>
      </c>
      <c r="G109" t="s">
        <v>1061</v>
      </c>
      <c r="H109" s="2" t="s">
        <v>1062</v>
      </c>
      <c r="I109" s="2">
        <v>20009</v>
      </c>
      <c r="J109" t="s">
        <v>671</v>
      </c>
      <c r="K109" t="s">
        <v>1016</v>
      </c>
      <c r="L109" t="s">
        <v>1017</v>
      </c>
      <c r="M109" s="132">
        <v>45817</v>
      </c>
      <c r="N109" t="s">
        <v>1055</v>
      </c>
      <c r="O109" t="s">
        <v>894</v>
      </c>
      <c r="P109">
        <v>80106396</v>
      </c>
      <c r="Q109" t="s">
        <v>965</v>
      </c>
      <c r="R109" t="s">
        <v>1063</v>
      </c>
      <c r="S109" t="s">
        <v>678</v>
      </c>
      <c r="T109" cm="1">
        <f t="array" aca="1" ref="T109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10" spans="1:20" ht="15">
      <c r="A110" s="132" t="s">
        <v>666</v>
      </c>
      <c r="B110" s="132" t="s">
        <v>667</v>
      </c>
      <c r="C110">
        <v>81226437</v>
      </c>
      <c r="D110" t="s">
        <v>135</v>
      </c>
      <c r="E110" t="s">
        <v>668</v>
      </c>
      <c r="F110">
        <v>1953</v>
      </c>
      <c r="G110" t="s">
        <v>1035</v>
      </c>
      <c r="H110" s="2" t="s">
        <v>1064</v>
      </c>
      <c r="I110" s="2">
        <v>20009</v>
      </c>
      <c r="J110" t="s">
        <v>671</v>
      </c>
      <c r="K110" t="s">
        <v>1016</v>
      </c>
      <c r="L110" t="s">
        <v>1017</v>
      </c>
      <c r="M110" s="132">
        <v>45845</v>
      </c>
      <c r="N110" t="s">
        <v>866</v>
      </c>
      <c r="O110" t="s">
        <v>759</v>
      </c>
      <c r="P110">
        <v>81211221</v>
      </c>
      <c r="Q110" t="s">
        <v>1052</v>
      </c>
      <c r="R110" t="s">
        <v>1065</v>
      </c>
      <c r="S110" t="s">
        <v>678</v>
      </c>
      <c r="T110" cm="1">
        <f t="array" aca="1" ref="T110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11" spans="1:20" ht="15">
      <c r="A111" s="132" t="s">
        <v>666</v>
      </c>
      <c r="B111" s="132" t="s">
        <v>667</v>
      </c>
      <c r="C111">
        <v>81251042</v>
      </c>
      <c r="D111" t="s">
        <v>354</v>
      </c>
      <c r="E111" t="s">
        <v>668</v>
      </c>
      <c r="F111">
        <v>1953</v>
      </c>
      <c r="G111" t="s">
        <v>1035</v>
      </c>
      <c r="H111" s="2" t="s">
        <v>1066</v>
      </c>
      <c r="I111" s="2">
        <v>20009</v>
      </c>
      <c r="J111" t="s">
        <v>671</v>
      </c>
      <c r="K111" t="s">
        <v>1016</v>
      </c>
      <c r="L111" t="s">
        <v>1017</v>
      </c>
      <c r="M111" s="132">
        <v>46027</v>
      </c>
      <c r="N111" t="s">
        <v>1067</v>
      </c>
      <c r="O111" t="s">
        <v>759</v>
      </c>
      <c r="P111">
        <v>81223120</v>
      </c>
      <c r="Q111" t="s">
        <v>418</v>
      </c>
      <c r="R111" t="s">
        <v>1068</v>
      </c>
      <c r="S111" t="s">
        <v>678</v>
      </c>
      <c r="T111" cm="1">
        <f t="array" aca="1" ref="T111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12" spans="1:20" ht="15">
      <c r="A112" s="132" t="s">
        <v>666</v>
      </c>
      <c r="B112" s="132" t="s">
        <v>667</v>
      </c>
      <c r="C112">
        <v>81252021</v>
      </c>
      <c r="D112" t="s">
        <v>1069</v>
      </c>
      <c r="E112" t="s">
        <v>668</v>
      </c>
      <c r="F112">
        <v>1953</v>
      </c>
      <c r="G112" t="s">
        <v>1035</v>
      </c>
      <c r="H112" s="2" t="s">
        <v>1070</v>
      </c>
      <c r="I112" s="2">
        <v>20009</v>
      </c>
      <c r="J112" t="s">
        <v>671</v>
      </c>
      <c r="K112" t="s">
        <v>1016</v>
      </c>
      <c r="L112" t="s">
        <v>1017</v>
      </c>
      <c r="M112" s="132">
        <v>46027</v>
      </c>
      <c r="N112" t="s">
        <v>1071</v>
      </c>
      <c r="O112" t="s">
        <v>675</v>
      </c>
      <c r="P112">
        <v>81223120</v>
      </c>
      <c r="Q112" t="s">
        <v>418</v>
      </c>
      <c r="R112" t="s">
        <v>1072</v>
      </c>
      <c r="S112" t="s">
        <v>678</v>
      </c>
      <c r="T112" cm="1">
        <f t="array" aca="1" ref="T112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13" spans="1:20" ht="15">
      <c r="A113" s="132" t="s">
        <v>666</v>
      </c>
      <c r="B113" s="132" t="s">
        <v>667</v>
      </c>
      <c r="C113">
        <v>81181365</v>
      </c>
      <c r="D113" t="s">
        <v>562</v>
      </c>
      <c r="E113" t="s">
        <v>668</v>
      </c>
      <c r="F113">
        <v>2241</v>
      </c>
      <c r="G113" t="s">
        <v>1073</v>
      </c>
      <c r="H113" s="2" t="s">
        <v>975</v>
      </c>
      <c r="I113" s="2">
        <v>20009</v>
      </c>
      <c r="J113" t="s">
        <v>671</v>
      </c>
      <c r="K113" t="s">
        <v>1016</v>
      </c>
      <c r="L113" t="s">
        <v>1017</v>
      </c>
      <c r="M113" s="132">
        <v>45579</v>
      </c>
      <c r="N113" t="s">
        <v>1074</v>
      </c>
      <c r="O113" t="s">
        <v>759</v>
      </c>
      <c r="P113">
        <v>81223120</v>
      </c>
      <c r="Q113" t="s">
        <v>418</v>
      </c>
      <c r="R113" t="s">
        <v>1075</v>
      </c>
      <c r="S113" t="s">
        <v>978</v>
      </c>
      <c r="T113" cm="1">
        <f t="array" aca="1" ref="T113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14" spans="1:20" ht="15">
      <c r="A114" s="132" t="s">
        <v>666</v>
      </c>
      <c r="B114" s="132" t="s">
        <v>880</v>
      </c>
      <c r="C114">
        <v>80107261</v>
      </c>
      <c r="D114" t="s">
        <v>1076</v>
      </c>
      <c r="E114" t="s">
        <v>668</v>
      </c>
      <c r="F114">
        <v>4954</v>
      </c>
      <c r="G114" t="s">
        <v>1077</v>
      </c>
      <c r="H114" s="2" t="s">
        <v>1078</v>
      </c>
      <c r="I114" s="2">
        <v>20009</v>
      </c>
      <c r="J114" t="s">
        <v>671</v>
      </c>
      <c r="K114" t="s">
        <v>1079</v>
      </c>
      <c r="L114" t="s">
        <v>1080</v>
      </c>
      <c r="M114" s="132">
        <v>43178</v>
      </c>
      <c r="N114" t="s">
        <v>1081</v>
      </c>
      <c r="O114" t="s">
        <v>759</v>
      </c>
      <c r="P114">
        <v>20221903</v>
      </c>
      <c r="Q114" t="s">
        <v>1082</v>
      </c>
      <c r="R114" t="s">
        <v>1083</v>
      </c>
      <c r="S114" t="s">
        <v>678</v>
      </c>
      <c r="T114" cm="1">
        <f t="array" aca="1" ref="T114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15" spans="1:20" ht="15">
      <c r="A115" s="132" t="s">
        <v>666</v>
      </c>
      <c r="B115" s="132" t="s">
        <v>1084</v>
      </c>
      <c r="C115">
        <v>80038367</v>
      </c>
      <c r="D115" t="s">
        <v>93</v>
      </c>
      <c r="E115" t="s">
        <v>668</v>
      </c>
      <c r="F115">
        <v>435</v>
      </c>
      <c r="G115" t="s">
        <v>1085</v>
      </c>
      <c r="H115" s="2" t="s">
        <v>1086</v>
      </c>
      <c r="I115" s="2">
        <v>20009</v>
      </c>
      <c r="J115" t="s">
        <v>671</v>
      </c>
      <c r="K115" t="s">
        <v>1087</v>
      </c>
      <c r="L115" t="s">
        <v>1088</v>
      </c>
      <c r="M115" s="132">
        <v>42737</v>
      </c>
      <c r="N115" t="s">
        <v>1089</v>
      </c>
      <c r="O115" t="s">
        <v>759</v>
      </c>
      <c r="P115">
        <v>40101630</v>
      </c>
      <c r="Q115" t="s">
        <v>1090</v>
      </c>
      <c r="R115" t="s">
        <v>1091</v>
      </c>
      <c r="S115" t="s">
        <v>678</v>
      </c>
      <c r="T115" cm="1">
        <f t="array" aca="1" ref="T115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16" spans="1:20" ht="15">
      <c r="A116" s="132" t="s">
        <v>666</v>
      </c>
      <c r="B116" s="132" t="s">
        <v>1084</v>
      </c>
      <c r="C116">
        <v>80304771</v>
      </c>
      <c r="D116" t="s">
        <v>392</v>
      </c>
      <c r="E116" t="s">
        <v>668</v>
      </c>
      <c r="F116">
        <v>2193</v>
      </c>
      <c r="G116" t="s">
        <v>1092</v>
      </c>
      <c r="H116" s="2" t="s">
        <v>1093</v>
      </c>
      <c r="I116" s="2">
        <v>20009</v>
      </c>
      <c r="J116" t="s">
        <v>671</v>
      </c>
      <c r="K116" t="s">
        <v>1094</v>
      </c>
      <c r="L116" t="s">
        <v>1095</v>
      </c>
      <c r="M116" s="132">
        <v>44179</v>
      </c>
      <c r="N116" t="s">
        <v>964</v>
      </c>
      <c r="O116" t="s">
        <v>759</v>
      </c>
      <c r="P116">
        <v>40050609</v>
      </c>
      <c r="Q116" t="s">
        <v>1096</v>
      </c>
      <c r="R116" t="s">
        <v>1097</v>
      </c>
      <c r="S116" t="s">
        <v>678</v>
      </c>
      <c r="T116" cm="1">
        <f t="array" aca="1" ref="T116" ca="1">IF(_xlfn.XLOOKUP(1, (Tabela25[CARGO] = Tabela2[[#This Row],[CARGO]]) * (Tabela25[CC] = Tabela2[[#This Row],[DESCCCUSTO]]), Tabela25[SETOR/EMPRESA], "INSERIR SETOR")="", "INSERIR SETOR", _xlfn.XLOOKUP(1, (Tabela25[CARGO] = Tabela2[[#This Row],[CARGO]]) * (Tabela25[CC] = Tabela2[[#This Row],[DESCCCUSTO]]), Tabela25[SETOR/EMPRESA], "INSERIR SETOR"))</f>
        <v>0</v>
      </c>
    </row>
    <row r="117" spans="1:20" ht="15">
      <c r="E117"/>
    </row>
    <row r="118" spans="1:20" ht="15">
      <c r="E118"/>
    </row>
    <row r="119" spans="1:20" ht="15">
      <c r="E119"/>
    </row>
    <row r="120" spans="1:20" ht="15">
      <c r="E120"/>
    </row>
    <row r="121" spans="1:20" ht="15">
      <c r="E121"/>
    </row>
    <row r="122" spans="1:20" ht="15">
      <c r="E122"/>
    </row>
    <row r="123" spans="1:20" ht="15">
      <c r="E123"/>
    </row>
    <row r="124" spans="1:20" ht="15">
      <c r="E124"/>
    </row>
    <row r="125" spans="1:20" ht="15">
      <c r="E125"/>
    </row>
    <row r="126" spans="1:20" ht="15">
      <c r="E126"/>
    </row>
    <row r="127" spans="1:20" ht="15">
      <c r="A127" s="122"/>
      <c r="B127" s="122"/>
      <c r="C127" s="122"/>
      <c r="E127" s="122"/>
      <c r="F127" s="122"/>
      <c r="G127" s="124"/>
      <c r="H127" s="123"/>
      <c r="I127" s="123"/>
      <c r="J127" s="123"/>
      <c r="K127" s="123"/>
      <c r="L127" s="123"/>
      <c r="M127" s="124"/>
      <c r="N127" s="124"/>
      <c r="O127" s="124"/>
      <c r="P127" s="124"/>
      <c r="Q127" s="124"/>
      <c r="R127" s="124"/>
      <c r="S127" s="124"/>
    </row>
    <row r="128" spans="1:20" ht="15">
      <c r="A128" s="122"/>
      <c r="B128" s="122"/>
      <c r="C128" s="122"/>
      <c r="E128" s="122"/>
      <c r="F128" s="122"/>
      <c r="G128" s="124"/>
      <c r="H128" s="123"/>
      <c r="I128" s="123"/>
      <c r="J128" s="123"/>
      <c r="K128" s="123"/>
      <c r="L128" s="123"/>
      <c r="M128" s="124"/>
      <c r="N128" s="124"/>
      <c r="O128" s="124"/>
      <c r="P128" s="124"/>
      <c r="Q128" s="124"/>
      <c r="R128" s="124"/>
      <c r="S128" s="124"/>
    </row>
    <row r="129" spans="1:19" ht="15">
      <c r="A129" s="122"/>
      <c r="B129" s="122"/>
      <c r="C129" s="122"/>
      <c r="E129" s="122"/>
      <c r="F129" s="122"/>
      <c r="G129" s="124"/>
      <c r="H129" s="123"/>
      <c r="I129" s="123"/>
      <c r="J129" s="123"/>
      <c r="K129" s="123"/>
      <c r="L129" s="123"/>
      <c r="M129" s="124"/>
      <c r="N129" s="124"/>
      <c r="O129" s="124"/>
      <c r="P129" s="124"/>
      <c r="Q129" s="124"/>
      <c r="R129" s="124"/>
      <c r="S129" s="124"/>
    </row>
    <row r="130" spans="1:19" ht="15">
      <c r="A130" s="122"/>
      <c r="B130" s="122"/>
      <c r="C130" s="122"/>
      <c r="E130" s="122"/>
      <c r="F130" s="122"/>
      <c r="G130" s="124"/>
      <c r="H130" s="123"/>
      <c r="I130" s="123"/>
      <c r="J130" s="123"/>
      <c r="K130" s="123"/>
      <c r="L130" s="123"/>
      <c r="M130" s="124"/>
      <c r="N130" s="124"/>
      <c r="O130" s="124"/>
      <c r="P130" s="124"/>
      <c r="Q130" s="124"/>
      <c r="R130" s="124"/>
      <c r="S130" s="124"/>
    </row>
    <row r="131" spans="1:19" ht="15">
      <c r="A131" s="122"/>
      <c r="B131" s="122"/>
      <c r="C131" s="122"/>
      <c r="E131" s="122"/>
      <c r="F131" s="122"/>
      <c r="G131" s="124"/>
      <c r="H131" s="123"/>
      <c r="I131" s="123"/>
      <c r="J131" s="123"/>
      <c r="K131" s="123"/>
      <c r="L131" s="123"/>
      <c r="M131" s="124"/>
      <c r="N131" s="124"/>
      <c r="O131" s="124"/>
      <c r="P131" s="124"/>
      <c r="Q131" s="124"/>
      <c r="R131" s="124"/>
      <c r="S131" s="124"/>
    </row>
    <row r="132" spans="1:19" ht="15">
      <c r="A132" s="122"/>
      <c r="B132" s="122"/>
      <c r="C132" s="122"/>
      <c r="E132" s="122"/>
      <c r="F132" s="122"/>
      <c r="G132" s="124"/>
      <c r="H132" s="123"/>
      <c r="I132" s="123"/>
      <c r="J132" s="123"/>
      <c r="K132" s="123"/>
      <c r="L132" s="123"/>
      <c r="M132" s="124"/>
      <c r="N132" s="124"/>
      <c r="O132" s="124"/>
      <c r="P132" s="124"/>
      <c r="Q132" s="124"/>
      <c r="R132" s="124"/>
      <c r="S132" s="124"/>
    </row>
    <row r="133" spans="1:19" ht="15">
      <c r="A133" s="122"/>
      <c r="B133" s="122"/>
      <c r="C133" s="122"/>
      <c r="E133" s="122"/>
      <c r="F133" s="122"/>
      <c r="G133" s="124"/>
      <c r="H133" s="123"/>
      <c r="I133" s="123"/>
      <c r="J133" s="123"/>
      <c r="K133" s="123"/>
      <c r="L133" s="123"/>
      <c r="M133" s="124"/>
      <c r="N133" s="124"/>
      <c r="O133" s="124"/>
      <c r="P133" s="124"/>
      <c r="Q133" s="124"/>
      <c r="R133" s="124"/>
      <c r="S133" s="124"/>
    </row>
    <row r="134" spans="1:19" ht="15">
      <c r="A134" s="122"/>
      <c r="B134" s="122"/>
      <c r="C134" s="122"/>
      <c r="E134" s="122"/>
      <c r="F134" s="122"/>
      <c r="G134" s="124"/>
      <c r="H134" s="123"/>
      <c r="I134" s="123"/>
      <c r="J134" s="123"/>
      <c r="K134" s="123"/>
      <c r="L134" s="123"/>
      <c r="M134" s="124"/>
      <c r="N134" s="124"/>
      <c r="O134" s="124"/>
      <c r="P134" s="124"/>
      <c r="Q134" s="124"/>
      <c r="R134" s="124"/>
      <c r="S134" s="124"/>
    </row>
    <row r="135" spans="1:19" ht="15">
      <c r="A135" s="122"/>
      <c r="B135" s="122"/>
      <c r="C135" s="122"/>
      <c r="E135" s="122"/>
      <c r="F135" s="122"/>
      <c r="G135" s="124"/>
      <c r="H135" s="123"/>
      <c r="I135" s="123"/>
      <c r="J135" s="123"/>
      <c r="K135" s="123"/>
      <c r="L135" s="123"/>
      <c r="M135" s="124"/>
      <c r="N135" s="124"/>
      <c r="O135" s="124"/>
      <c r="P135" s="124"/>
      <c r="Q135" s="124"/>
      <c r="R135" s="124"/>
      <c r="S135" s="124"/>
    </row>
    <row r="136" spans="1:19" ht="15">
      <c r="A136" s="122"/>
      <c r="B136" s="122"/>
      <c r="C136" s="122"/>
      <c r="E136" s="122"/>
      <c r="F136" s="122"/>
      <c r="G136" s="124"/>
      <c r="H136" s="123"/>
      <c r="I136" s="123"/>
      <c r="J136" s="123"/>
      <c r="K136" s="123"/>
      <c r="L136" s="123"/>
      <c r="M136" s="124"/>
      <c r="N136" s="124"/>
      <c r="O136" s="124"/>
      <c r="P136" s="124"/>
      <c r="Q136" s="124"/>
      <c r="R136" s="124"/>
      <c r="S136" s="124"/>
    </row>
    <row r="137" spans="1:19" ht="15">
      <c r="A137" s="122"/>
      <c r="B137" s="122"/>
      <c r="C137" s="122"/>
      <c r="E137" s="122"/>
      <c r="F137" s="122"/>
      <c r="G137" s="124"/>
      <c r="H137" s="123"/>
      <c r="I137" s="123"/>
      <c r="J137" s="123"/>
      <c r="K137" s="123"/>
      <c r="L137" s="123"/>
      <c r="M137" s="124"/>
      <c r="N137" s="124"/>
      <c r="O137" s="124"/>
      <c r="P137" s="124"/>
      <c r="Q137" s="124"/>
      <c r="R137" s="124"/>
      <c r="S137" s="124"/>
    </row>
    <row r="138" spans="1:19" ht="15">
      <c r="A138" s="122"/>
      <c r="B138" s="122"/>
      <c r="C138" s="122"/>
      <c r="E138" s="122"/>
      <c r="F138" s="122"/>
      <c r="G138" s="124"/>
      <c r="H138" s="123"/>
      <c r="I138" s="123"/>
      <c r="J138" s="123"/>
      <c r="K138" s="123"/>
      <c r="L138" s="123"/>
      <c r="M138" s="124"/>
      <c r="N138" s="124"/>
      <c r="O138" s="124"/>
      <c r="P138" s="124"/>
      <c r="Q138" s="124"/>
      <c r="R138" s="124"/>
      <c r="S138" s="124"/>
    </row>
    <row r="139" spans="1:19" ht="15">
      <c r="A139" s="122"/>
      <c r="B139" s="122"/>
      <c r="C139" s="122"/>
      <c r="E139" s="122"/>
      <c r="F139" s="122"/>
      <c r="G139" s="124"/>
      <c r="H139" s="123"/>
      <c r="I139" s="123"/>
      <c r="J139" s="123"/>
      <c r="K139" s="123"/>
      <c r="L139" s="123"/>
      <c r="M139" s="124"/>
      <c r="N139" s="124"/>
      <c r="O139" s="124"/>
      <c r="P139" s="124"/>
      <c r="Q139" s="124"/>
      <c r="R139" s="124"/>
      <c r="S139" s="124"/>
    </row>
    <row r="140" spans="1:19" ht="15">
      <c r="A140" s="122"/>
      <c r="B140" s="122"/>
      <c r="C140" s="122"/>
      <c r="E140" s="122"/>
      <c r="F140" s="122"/>
      <c r="G140" s="124"/>
      <c r="H140" s="123"/>
      <c r="I140" s="123"/>
      <c r="J140" s="123"/>
      <c r="K140" s="123"/>
      <c r="L140" s="123"/>
      <c r="M140" s="124"/>
      <c r="N140" s="124"/>
      <c r="O140" s="124"/>
      <c r="P140" s="124"/>
      <c r="Q140" s="124"/>
      <c r="R140" s="124"/>
      <c r="S140" s="124"/>
    </row>
    <row r="141" spans="1:19" ht="15">
      <c r="A141" s="122"/>
      <c r="B141" s="122"/>
      <c r="C141" s="122"/>
      <c r="E141" s="122"/>
      <c r="F141" s="122"/>
      <c r="G141" s="124"/>
      <c r="H141" s="123"/>
      <c r="I141" s="123"/>
      <c r="J141" s="123"/>
      <c r="K141" s="123"/>
      <c r="L141" s="123"/>
      <c r="M141" s="124"/>
      <c r="N141" s="124"/>
      <c r="O141" s="124"/>
      <c r="P141" s="124"/>
      <c r="Q141" s="124"/>
      <c r="R141" s="124"/>
      <c r="S141" s="124"/>
    </row>
    <row r="142" spans="1:19" ht="15">
      <c r="A142" s="122"/>
      <c r="B142" s="122"/>
      <c r="C142" s="122"/>
      <c r="E142" s="122"/>
      <c r="F142" s="122"/>
      <c r="G142" s="124"/>
      <c r="H142" s="123"/>
      <c r="I142" s="123"/>
      <c r="J142" s="123"/>
      <c r="K142" s="123"/>
      <c r="L142" s="123"/>
      <c r="M142" s="124"/>
      <c r="N142" s="124"/>
      <c r="O142" s="124"/>
      <c r="P142" s="124"/>
      <c r="Q142" s="124"/>
      <c r="R142" s="124"/>
      <c r="S142" s="124"/>
    </row>
    <row r="143" spans="1:19" ht="15">
      <c r="A143" s="122"/>
      <c r="B143" s="122"/>
      <c r="C143" s="122"/>
      <c r="E143" s="122"/>
      <c r="F143" s="122"/>
      <c r="G143" s="124"/>
      <c r="H143" s="123"/>
      <c r="I143" s="123"/>
      <c r="J143" s="123"/>
      <c r="K143" s="123"/>
      <c r="L143" s="123"/>
      <c r="M143" s="124"/>
      <c r="N143" s="124"/>
      <c r="O143" s="124"/>
      <c r="P143" s="124"/>
      <c r="Q143" s="124"/>
      <c r="R143" s="124"/>
      <c r="S143" s="124"/>
    </row>
    <row r="144" spans="1:19" ht="15">
      <c r="A144" s="122"/>
      <c r="B144" s="122"/>
      <c r="C144" s="122"/>
      <c r="E144" s="122"/>
      <c r="F144" s="122"/>
      <c r="G144" s="124"/>
      <c r="H144" s="123"/>
      <c r="I144" s="123"/>
      <c r="J144" s="123"/>
      <c r="K144" s="123"/>
      <c r="L144" s="123"/>
      <c r="M144" s="124"/>
      <c r="N144" s="124"/>
      <c r="O144" s="124"/>
      <c r="P144" s="124"/>
      <c r="Q144" s="124"/>
      <c r="R144" s="124"/>
      <c r="S144" s="124"/>
    </row>
    <row r="145" spans="1:19" ht="15">
      <c r="A145" s="122"/>
      <c r="B145" s="122"/>
      <c r="C145" s="122"/>
      <c r="E145" s="122"/>
      <c r="F145" s="122"/>
      <c r="G145" s="124"/>
      <c r="H145" s="123"/>
      <c r="I145" s="123"/>
      <c r="J145" s="123"/>
      <c r="K145" s="123"/>
      <c r="L145" s="123"/>
      <c r="M145" s="124"/>
      <c r="N145" s="124"/>
      <c r="O145" s="124"/>
      <c r="P145" s="124"/>
      <c r="Q145" s="124"/>
      <c r="R145" s="124"/>
      <c r="S145" s="124"/>
    </row>
    <row r="146" spans="1:19" ht="15">
      <c r="A146" s="122"/>
      <c r="B146" s="122"/>
      <c r="C146" s="122"/>
      <c r="E146" s="122"/>
      <c r="F146" s="122"/>
      <c r="G146" s="124"/>
      <c r="H146" s="123"/>
      <c r="I146" s="123"/>
      <c r="J146" s="123"/>
      <c r="K146" s="123"/>
      <c r="L146" s="123"/>
      <c r="M146" s="124"/>
      <c r="N146" s="124"/>
      <c r="O146" s="124"/>
      <c r="P146" s="124"/>
      <c r="Q146" s="124"/>
      <c r="R146" s="124"/>
      <c r="S146" s="124"/>
    </row>
    <row r="147" spans="1:19" ht="15">
      <c r="A147" s="122"/>
      <c r="B147" s="122"/>
      <c r="C147" s="122"/>
      <c r="E147" s="122"/>
      <c r="F147" s="122"/>
      <c r="G147" s="124"/>
      <c r="H147" s="123"/>
      <c r="I147" s="123"/>
      <c r="J147" s="123"/>
      <c r="K147" s="123"/>
      <c r="L147" s="123"/>
      <c r="M147" s="124"/>
      <c r="N147" s="124"/>
      <c r="O147" s="124"/>
      <c r="P147" s="124"/>
      <c r="Q147" s="124"/>
      <c r="R147" s="124"/>
      <c r="S147" s="124"/>
    </row>
    <row r="148" spans="1:19" ht="15">
      <c r="A148" s="122"/>
      <c r="B148" s="122"/>
      <c r="C148" s="122"/>
      <c r="E148" s="122"/>
      <c r="F148" s="122"/>
      <c r="G148" s="124"/>
      <c r="H148" s="123"/>
      <c r="I148" s="123"/>
      <c r="J148" s="123"/>
      <c r="K148" s="123"/>
      <c r="L148" s="123"/>
      <c r="M148" s="124"/>
      <c r="N148" s="124"/>
      <c r="O148" s="124"/>
      <c r="P148" s="124"/>
      <c r="Q148" s="124"/>
      <c r="R148" s="124"/>
      <c r="S148" s="124"/>
    </row>
    <row r="149" spans="1:19" ht="15">
      <c r="A149" s="122"/>
      <c r="B149" s="122"/>
      <c r="C149" s="122"/>
      <c r="E149" s="122"/>
      <c r="F149" s="122"/>
      <c r="G149" s="124"/>
      <c r="H149" s="123"/>
      <c r="I149" s="123"/>
      <c r="J149" s="123"/>
      <c r="K149" s="123"/>
      <c r="L149" s="123"/>
      <c r="M149" s="124"/>
      <c r="N149" s="124"/>
      <c r="O149" s="124"/>
      <c r="P149" s="124"/>
      <c r="Q149" s="124"/>
      <c r="R149" s="124"/>
      <c r="S149" s="124"/>
    </row>
    <row r="150" spans="1:19" ht="15">
      <c r="A150" s="122"/>
      <c r="B150" s="122"/>
      <c r="C150" s="122"/>
      <c r="E150" s="122"/>
      <c r="F150" s="122"/>
      <c r="G150" s="124"/>
      <c r="H150" s="123"/>
      <c r="I150" s="123"/>
      <c r="J150" s="123"/>
      <c r="K150" s="123"/>
      <c r="L150" s="123"/>
      <c r="M150" s="124"/>
      <c r="N150" s="124"/>
      <c r="O150" s="124"/>
      <c r="P150" s="124"/>
      <c r="Q150" s="124"/>
      <c r="R150" s="124"/>
      <c r="S150" s="124"/>
    </row>
    <row r="151" spans="1:19" ht="15">
      <c r="A151" s="122"/>
      <c r="B151" s="122"/>
      <c r="C151" s="122"/>
      <c r="E151" s="122"/>
      <c r="F151" s="122"/>
      <c r="G151" s="124"/>
      <c r="H151" s="123"/>
      <c r="I151" s="123"/>
      <c r="J151" s="123"/>
      <c r="K151" s="123"/>
      <c r="L151" s="123"/>
      <c r="M151" s="124"/>
      <c r="N151" s="124"/>
      <c r="O151" s="124"/>
      <c r="P151" s="124"/>
      <c r="Q151" s="124"/>
      <c r="R151" s="124"/>
      <c r="S151" s="124"/>
    </row>
    <row r="152" spans="1:19" ht="15">
      <c r="A152" s="122"/>
      <c r="B152" s="122"/>
      <c r="C152" s="122"/>
      <c r="E152" s="122"/>
      <c r="F152" s="122"/>
      <c r="G152" s="124"/>
      <c r="H152" s="123"/>
      <c r="I152" s="123"/>
      <c r="J152" s="123"/>
      <c r="K152" s="123"/>
      <c r="L152" s="123"/>
      <c r="M152" s="124"/>
      <c r="N152" s="124"/>
      <c r="O152" s="124"/>
      <c r="P152" s="124"/>
      <c r="Q152" s="124"/>
      <c r="R152" s="124"/>
      <c r="S152" s="124"/>
    </row>
    <row r="153" spans="1:19" ht="15">
      <c r="A153" s="122"/>
      <c r="B153" s="122"/>
      <c r="C153" s="122"/>
      <c r="E153" s="122"/>
      <c r="F153" s="122"/>
      <c r="G153" s="124"/>
      <c r="H153" s="123"/>
      <c r="I153" s="123"/>
      <c r="J153" s="123"/>
      <c r="K153" s="123"/>
      <c r="L153" s="123"/>
      <c r="M153" s="124"/>
      <c r="N153" s="124"/>
      <c r="O153" s="124"/>
      <c r="P153" s="124"/>
      <c r="Q153" s="124"/>
      <c r="R153" s="124"/>
      <c r="S153" s="124"/>
    </row>
    <row r="154" spans="1:19" ht="15">
      <c r="A154" s="122"/>
      <c r="B154" s="122"/>
      <c r="C154" s="122"/>
      <c r="E154" s="122"/>
      <c r="F154" s="122"/>
      <c r="G154" s="124"/>
      <c r="H154" s="123"/>
      <c r="I154" s="123"/>
      <c r="J154" s="123"/>
      <c r="K154" s="123"/>
      <c r="L154" s="123"/>
      <c r="M154" s="124"/>
      <c r="N154" s="124"/>
      <c r="O154" s="124"/>
      <c r="P154" s="124"/>
      <c r="Q154" s="124"/>
      <c r="R154" s="124"/>
      <c r="S154" s="124"/>
    </row>
    <row r="155" spans="1:19" ht="15">
      <c r="A155" s="122"/>
      <c r="B155" s="122"/>
      <c r="C155" s="122"/>
      <c r="E155" s="122"/>
      <c r="F155" s="122"/>
      <c r="G155" s="124"/>
      <c r="H155" s="123"/>
      <c r="I155" s="123"/>
      <c r="J155" s="123"/>
      <c r="K155" s="123"/>
      <c r="L155" s="123"/>
      <c r="M155" s="124"/>
      <c r="N155" s="124"/>
      <c r="O155" s="124"/>
      <c r="P155" s="124"/>
      <c r="Q155" s="124"/>
      <c r="R155" s="124"/>
      <c r="S155" s="124"/>
    </row>
    <row r="156" spans="1:19" ht="15">
      <c r="A156" s="122"/>
      <c r="B156" s="122"/>
      <c r="C156" s="122"/>
      <c r="E156" s="122"/>
      <c r="F156" s="122"/>
      <c r="G156" s="124"/>
      <c r="H156" s="123"/>
      <c r="I156" s="123"/>
      <c r="J156" s="123"/>
      <c r="K156" s="123"/>
      <c r="L156" s="123"/>
      <c r="M156" s="124"/>
      <c r="N156" s="124"/>
      <c r="O156" s="124"/>
      <c r="P156" s="124"/>
      <c r="Q156" s="124"/>
      <c r="R156" s="124"/>
      <c r="S156" s="124"/>
    </row>
    <row r="157" spans="1:19" ht="15">
      <c r="A157" s="122"/>
      <c r="B157" s="122"/>
      <c r="C157" s="122"/>
      <c r="E157" s="122"/>
      <c r="F157" s="122"/>
      <c r="G157" s="124"/>
      <c r="H157" s="123"/>
      <c r="I157" s="123"/>
      <c r="J157" s="123"/>
      <c r="K157" s="123"/>
      <c r="L157" s="123"/>
      <c r="M157" s="124"/>
      <c r="N157" s="124"/>
      <c r="O157" s="124"/>
      <c r="P157" s="124"/>
      <c r="Q157" s="124"/>
      <c r="R157" s="124"/>
      <c r="S157" s="124"/>
    </row>
    <row r="158" spans="1:19" ht="15">
      <c r="A158" s="122"/>
      <c r="B158" s="122"/>
      <c r="C158" s="122"/>
      <c r="E158" s="122"/>
      <c r="F158" s="122"/>
      <c r="G158" s="124"/>
      <c r="H158" s="123"/>
      <c r="I158" s="123"/>
      <c r="J158" s="123"/>
      <c r="K158" s="123"/>
      <c r="L158" s="123"/>
      <c r="M158" s="124"/>
      <c r="N158" s="124"/>
      <c r="O158" s="124"/>
      <c r="P158" s="124"/>
      <c r="Q158" s="124"/>
      <c r="R158" s="124"/>
      <c r="S158" s="124"/>
    </row>
    <row r="159" spans="1:19" ht="15">
      <c r="A159" s="122"/>
      <c r="B159" s="122"/>
      <c r="C159" s="122"/>
      <c r="E159" s="122"/>
      <c r="F159" s="122"/>
      <c r="G159" s="124"/>
      <c r="H159" s="123"/>
      <c r="I159" s="123"/>
      <c r="J159" s="123"/>
      <c r="K159" s="123"/>
      <c r="L159" s="123"/>
      <c r="M159" s="124"/>
      <c r="N159" s="124"/>
      <c r="O159" s="124"/>
      <c r="P159" s="124"/>
      <c r="Q159" s="124"/>
      <c r="R159" s="124"/>
      <c r="S159" s="124"/>
    </row>
    <row r="160" spans="1:19" ht="15">
      <c r="A160" s="122"/>
      <c r="B160" s="122"/>
      <c r="C160" s="122"/>
      <c r="E160" s="122"/>
      <c r="F160" s="122"/>
      <c r="G160" s="124"/>
      <c r="H160" s="123"/>
      <c r="I160" s="123"/>
      <c r="J160" s="123"/>
      <c r="K160" s="123"/>
      <c r="L160" s="123"/>
      <c r="M160" s="124"/>
      <c r="N160" s="124"/>
      <c r="O160" s="124"/>
      <c r="P160" s="124"/>
      <c r="Q160" s="124"/>
      <c r="R160" s="124"/>
      <c r="S160" s="124"/>
    </row>
    <row r="161" spans="1:19" ht="15">
      <c r="A161" s="122"/>
      <c r="B161" s="122"/>
      <c r="C161" s="122"/>
      <c r="E161" s="122"/>
      <c r="F161" s="122"/>
      <c r="G161" s="124"/>
      <c r="H161" s="123"/>
      <c r="I161" s="123"/>
      <c r="J161" s="123"/>
      <c r="K161" s="123"/>
      <c r="L161" s="123"/>
      <c r="M161" s="124"/>
      <c r="N161" s="124"/>
      <c r="O161" s="124"/>
      <c r="P161" s="124"/>
      <c r="Q161" s="124"/>
      <c r="R161" s="124"/>
      <c r="S161" s="124"/>
    </row>
    <row r="162" spans="1:19" ht="15">
      <c r="A162" s="122"/>
      <c r="B162" s="122"/>
      <c r="C162" s="122"/>
      <c r="E162" s="122"/>
      <c r="F162" s="122"/>
      <c r="G162" s="124"/>
      <c r="H162" s="123"/>
      <c r="I162" s="123"/>
      <c r="J162" s="123"/>
      <c r="K162" s="123"/>
      <c r="L162" s="123"/>
      <c r="M162" s="124"/>
      <c r="N162" s="124"/>
      <c r="O162" s="124"/>
      <c r="P162" s="124"/>
      <c r="Q162" s="124"/>
      <c r="R162" s="124"/>
      <c r="S162" s="124"/>
    </row>
    <row r="163" spans="1:19" ht="15">
      <c r="A163" s="122"/>
      <c r="B163" s="122"/>
      <c r="C163" s="122"/>
      <c r="E163" s="122"/>
      <c r="F163" s="122"/>
      <c r="G163" s="124"/>
      <c r="H163" s="123"/>
      <c r="I163" s="123"/>
      <c r="J163" s="123"/>
      <c r="K163" s="123"/>
      <c r="L163" s="123"/>
      <c r="M163" s="124"/>
      <c r="N163" s="124"/>
      <c r="O163" s="124"/>
      <c r="P163" s="124"/>
      <c r="Q163" s="124"/>
      <c r="R163" s="124"/>
      <c r="S163" s="124"/>
    </row>
    <row r="164" spans="1:19" ht="15">
      <c r="A164" s="122"/>
      <c r="B164" s="122"/>
      <c r="C164" s="122"/>
      <c r="E164" s="122"/>
      <c r="F164" s="122"/>
      <c r="G164" s="124"/>
      <c r="H164" s="123"/>
      <c r="I164" s="123"/>
      <c r="J164" s="123"/>
      <c r="K164" s="123"/>
      <c r="L164" s="123"/>
      <c r="M164" s="124"/>
      <c r="N164" s="124"/>
      <c r="O164" s="124"/>
      <c r="P164" s="124"/>
      <c r="Q164" s="124"/>
      <c r="R164" s="124"/>
      <c r="S164" s="124"/>
    </row>
    <row r="165" spans="1:19" ht="15">
      <c r="A165" s="122"/>
      <c r="B165" s="122"/>
      <c r="C165" s="122"/>
      <c r="E165" s="122"/>
      <c r="F165" s="122"/>
      <c r="G165" s="124"/>
      <c r="H165" s="123"/>
      <c r="I165" s="123"/>
      <c r="J165" s="123"/>
      <c r="K165" s="123"/>
      <c r="L165" s="123"/>
      <c r="M165" s="124"/>
      <c r="N165" s="124"/>
      <c r="O165" s="124"/>
      <c r="P165" s="124"/>
      <c r="Q165" s="124"/>
      <c r="R165" s="124"/>
      <c r="S165" s="124"/>
    </row>
    <row r="166" spans="1:19" ht="15">
      <c r="A166" s="122"/>
      <c r="B166" s="122"/>
      <c r="C166" s="122"/>
      <c r="E166" s="122"/>
      <c r="F166" s="122"/>
      <c r="G166" s="124"/>
      <c r="H166" s="123"/>
      <c r="I166" s="123"/>
      <c r="J166" s="123"/>
      <c r="K166" s="123"/>
      <c r="L166" s="123"/>
      <c r="M166" s="124"/>
      <c r="N166" s="124"/>
      <c r="O166" s="124"/>
      <c r="P166" s="124"/>
      <c r="Q166" s="124"/>
      <c r="R166" s="124"/>
      <c r="S166" s="124"/>
    </row>
    <row r="167" spans="1:19" ht="15">
      <c r="A167" s="122"/>
      <c r="B167" s="122"/>
      <c r="C167" s="122"/>
      <c r="E167" s="122"/>
      <c r="F167" s="122"/>
      <c r="G167" s="124"/>
      <c r="H167" s="123"/>
      <c r="I167" s="123"/>
      <c r="J167" s="123"/>
      <c r="K167" s="123"/>
      <c r="L167" s="123"/>
      <c r="M167" s="124"/>
      <c r="N167" s="124"/>
      <c r="O167" s="124"/>
      <c r="P167" s="124"/>
      <c r="Q167" s="124"/>
      <c r="R167" s="124"/>
      <c r="S167" s="124"/>
    </row>
    <row r="168" spans="1:19" ht="15">
      <c r="A168" s="122"/>
      <c r="B168" s="122"/>
      <c r="C168" s="122"/>
      <c r="E168" s="122"/>
      <c r="F168" s="122"/>
      <c r="G168" s="124"/>
      <c r="H168" s="123"/>
      <c r="I168" s="123"/>
      <c r="J168" s="123"/>
      <c r="K168" s="123"/>
      <c r="L168" s="123"/>
      <c r="M168" s="124"/>
      <c r="N168" s="124"/>
      <c r="O168" s="124"/>
      <c r="P168" s="124"/>
      <c r="Q168" s="124"/>
      <c r="R168" s="124"/>
      <c r="S168" s="124"/>
    </row>
    <row r="169" spans="1:19" ht="15">
      <c r="A169" s="122"/>
      <c r="B169" s="122"/>
      <c r="C169" s="122"/>
      <c r="E169" s="122"/>
      <c r="F169" s="122"/>
      <c r="G169" s="124"/>
      <c r="H169" s="123"/>
      <c r="I169" s="123"/>
      <c r="J169" s="123"/>
      <c r="K169" s="123"/>
      <c r="L169" s="123"/>
      <c r="M169" s="124"/>
      <c r="N169" s="124"/>
      <c r="O169" s="124"/>
      <c r="P169" s="124"/>
      <c r="Q169" s="124"/>
      <c r="R169" s="124"/>
      <c r="S169" s="124"/>
    </row>
    <row r="170" spans="1:19" ht="15">
      <c r="A170" s="122"/>
      <c r="B170" s="122"/>
      <c r="C170" s="122"/>
      <c r="E170" s="122"/>
      <c r="F170" s="122"/>
      <c r="G170" s="124"/>
      <c r="H170" s="123"/>
      <c r="I170" s="123"/>
      <c r="J170" s="123"/>
      <c r="K170" s="123"/>
      <c r="L170" s="123"/>
      <c r="M170" s="124"/>
      <c r="N170" s="124"/>
      <c r="O170" s="124"/>
      <c r="P170" s="124"/>
      <c r="Q170" s="124"/>
      <c r="R170" s="124"/>
      <c r="S170" s="124"/>
    </row>
    <row r="171" spans="1:19" ht="15">
      <c r="A171" s="122"/>
      <c r="B171" s="122"/>
      <c r="C171" s="122"/>
      <c r="E171" s="122"/>
      <c r="F171" s="122"/>
      <c r="G171" s="124"/>
      <c r="H171" s="123"/>
      <c r="I171" s="123"/>
      <c r="J171" s="123"/>
      <c r="K171" s="123"/>
      <c r="L171" s="123"/>
      <c r="M171" s="124"/>
      <c r="N171" s="124"/>
      <c r="O171" s="124"/>
      <c r="P171" s="124"/>
      <c r="Q171" s="124"/>
      <c r="R171" s="124"/>
      <c r="S171" s="124"/>
    </row>
    <row r="172" spans="1:19" ht="15">
      <c r="A172" s="122"/>
      <c r="B172" s="122"/>
      <c r="C172" s="122"/>
      <c r="E172" s="122"/>
      <c r="F172" s="122"/>
      <c r="G172" s="124"/>
      <c r="H172" s="123"/>
      <c r="I172" s="123"/>
      <c r="J172" s="123"/>
      <c r="K172" s="123"/>
      <c r="L172" s="123"/>
      <c r="M172" s="124"/>
      <c r="N172" s="124"/>
      <c r="O172" s="124"/>
      <c r="P172" s="124"/>
      <c r="Q172" s="124"/>
      <c r="R172" s="124"/>
      <c r="S172" s="124"/>
    </row>
    <row r="173" spans="1:19" ht="15">
      <c r="A173" s="122"/>
      <c r="B173" s="122"/>
      <c r="C173" s="122"/>
      <c r="E173" s="122"/>
      <c r="F173" s="122"/>
      <c r="G173" s="124"/>
      <c r="H173" s="123"/>
      <c r="I173" s="123"/>
      <c r="J173" s="123"/>
      <c r="K173" s="123"/>
      <c r="L173" s="123"/>
      <c r="M173" s="124"/>
      <c r="N173" s="124"/>
      <c r="O173" s="124"/>
      <c r="P173" s="124"/>
      <c r="Q173" s="124"/>
      <c r="R173" s="124"/>
      <c r="S173" s="124"/>
    </row>
    <row r="174" spans="1:19" ht="15">
      <c r="A174" s="122"/>
      <c r="B174" s="122"/>
      <c r="C174" s="122"/>
      <c r="E174" s="122"/>
      <c r="F174" s="122"/>
      <c r="G174" s="124"/>
      <c r="H174" s="123"/>
      <c r="I174" s="123"/>
      <c r="J174" s="123"/>
      <c r="K174" s="123"/>
      <c r="L174" s="123"/>
      <c r="M174" s="124"/>
      <c r="N174" s="124"/>
      <c r="O174" s="124"/>
      <c r="P174" s="124"/>
      <c r="Q174" s="124"/>
      <c r="R174" s="124"/>
      <c r="S174" s="124"/>
    </row>
    <row r="175" spans="1:19" ht="15">
      <c r="A175" s="122"/>
      <c r="B175" s="122"/>
      <c r="C175" s="122"/>
      <c r="E175" s="122"/>
      <c r="F175" s="122"/>
      <c r="G175" s="124"/>
      <c r="H175" s="123"/>
      <c r="I175" s="123"/>
      <c r="J175" s="123"/>
      <c r="K175" s="123"/>
      <c r="L175" s="123"/>
      <c r="M175" s="124"/>
      <c r="N175" s="124"/>
      <c r="O175" s="124"/>
      <c r="P175" s="124"/>
      <c r="Q175" s="124"/>
      <c r="R175" s="124"/>
      <c r="S175" s="124"/>
    </row>
    <row r="176" spans="1:19" ht="15">
      <c r="A176" s="122"/>
      <c r="B176" s="122"/>
      <c r="C176" s="122"/>
      <c r="E176" s="122"/>
      <c r="F176" s="122"/>
      <c r="G176" s="124"/>
      <c r="H176" s="123"/>
      <c r="I176" s="123"/>
      <c r="J176" s="123"/>
      <c r="K176" s="123"/>
      <c r="L176" s="123"/>
      <c r="M176" s="124"/>
      <c r="N176" s="124"/>
      <c r="O176" s="124"/>
      <c r="P176" s="124"/>
      <c r="Q176" s="124"/>
      <c r="R176" s="124"/>
      <c r="S176" s="124"/>
    </row>
    <row r="177" spans="1:19" ht="15">
      <c r="A177" s="122"/>
      <c r="B177" s="122"/>
      <c r="C177" s="122"/>
      <c r="E177" s="122"/>
      <c r="F177" s="122"/>
      <c r="G177" s="124"/>
      <c r="H177" s="123"/>
      <c r="I177" s="123"/>
      <c r="J177" s="123"/>
      <c r="K177" s="123"/>
      <c r="L177" s="123"/>
      <c r="M177" s="124"/>
      <c r="N177" s="124"/>
      <c r="O177" s="124"/>
      <c r="P177" s="124"/>
      <c r="Q177" s="124"/>
      <c r="R177" s="124"/>
      <c r="S177" s="124"/>
    </row>
    <row r="178" spans="1:19" ht="15">
      <c r="A178" s="122"/>
      <c r="B178" s="122"/>
      <c r="C178" s="122"/>
      <c r="E178" s="122"/>
      <c r="F178" s="122"/>
      <c r="G178" s="124"/>
      <c r="H178" s="123"/>
      <c r="I178" s="123"/>
      <c r="J178" s="123"/>
      <c r="K178" s="123"/>
      <c r="L178" s="123"/>
      <c r="M178" s="124"/>
      <c r="N178" s="124"/>
      <c r="O178" s="124"/>
      <c r="P178" s="124"/>
      <c r="Q178" s="124"/>
      <c r="R178" s="124"/>
      <c r="S178" s="124"/>
    </row>
    <row r="179" spans="1:19" ht="15">
      <c r="A179" s="122"/>
      <c r="B179" s="122"/>
      <c r="C179" s="122"/>
      <c r="E179" s="122"/>
      <c r="F179" s="122"/>
      <c r="G179" s="124"/>
      <c r="H179" s="123"/>
      <c r="I179" s="123"/>
      <c r="J179" s="123"/>
      <c r="K179" s="123"/>
      <c r="L179" s="123"/>
      <c r="M179" s="124"/>
      <c r="N179" s="124"/>
      <c r="O179" s="124"/>
      <c r="P179" s="124"/>
      <c r="Q179" s="124"/>
      <c r="R179" s="124"/>
      <c r="S179" s="124"/>
    </row>
    <row r="180" spans="1:19" ht="15">
      <c r="A180" s="122"/>
      <c r="B180" s="122"/>
      <c r="C180" s="122"/>
      <c r="E180" s="122"/>
      <c r="F180" s="122"/>
      <c r="G180" s="124"/>
      <c r="H180" s="123"/>
      <c r="I180" s="123"/>
      <c r="J180" s="123"/>
      <c r="K180" s="123"/>
      <c r="L180" s="123"/>
      <c r="M180" s="124"/>
      <c r="N180" s="124"/>
      <c r="O180" s="124"/>
      <c r="P180" s="124"/>
      <c r="Q180" s="124"/>
      <c r="R180" s="124"/>
      <c r="S180" s="124"/>
    </row>
    <row r="181" spans="1:19" ht="15">
      <c r="A181" s="122"/>
      <c r="B181" s="122"/>
      <c r="C181" s="122"/>
      <c r="E181" s="122"/>
      <c r="F181" s="122"/>
      <c r="G181" s="124"/>
      <c r="H181" s="123"/>
      <c r="I181" s="123"/>
      <c r="J181" s="123"/>
      <c r="K181" s="123"/>
      <c r="L181" s="123"/>
      <c r="M181" s="124"/>
      <c r="N181" s="124"/>
      <c r="O181" s="124"/>
      <c r="P181" s="124"/>
      <c r="Q181" s="124"/>
      <c r="R181" s="124"/>
      <c r="S181" s="124"/>
    </row>
    <row r="182" spans="1:19" ht="15">
      <c r="A182" s="122"/>
      <c r="B182" s="122"/>
      <c r="C182" s="122"/>
      <c r="E182" s="122"/>
      <c r="F182" s="122"/>
      <c r="G182" s="124"/>
      <c r="H182" s="123"/>
      <c r="I182" s="123"/>
      <c r="J182" s="123"/>
      <c r="K182" s="123"/>
      <c r="L182" s="123"/>
      <c r="M182" s="124"/>
      <c r="N182" s="124"/>
      <c r="O182" s="124"/>
      <c r="P182" s="124"/>
      <c r="Q182" s="124"/>
      <c r="R182" s="124"/>
      <c r="S182" s="124"/>
    </row>
    <row r="183" spans="1:19" ht="15">
      <c r="A183" s="122"/>
      <c r="B183" s="122"/>
      <c r="C183" s="122"/>
      <c r="E183" s="122"/>
      <c r="F183" s="122"/>
      <c r="G183" s="124"/>
      <c r="H183" s="123"/>
      <c r="I183" s="123"/>
      <c r="J183" s="123"/>
      <c r="K183" s="123"/>
      <c r="L183" s="123"/>
      <c r="M183" s="124"/>
      <c r="N183" s="124"/>
      <c r="O183" s="124"/>
      <c r="P183" s="124"/>
      <c r="Q183" s="124"/>
      <c r="R183" s="124"/>
      <c r="S183" s="124"/>
    </row>
    <row r="184" spans="1:19" ht="15">
      <c r="A184" s="122"/>
      <c r="B184" s="122"/>
      <c r="C184" s="122"/>
      <c r="E184" s="122"/>
      <c r="F184" s="122"/>
      <c r="G184" s="124"/>
      <c r="H184" s="123"/>
      <c r="I184" s="123"/>
      <c r="J184" s="123"/>
      <c r="K184" s="123"/>
      <c r="L184" s="123"/>
      <c r="M184" s="124"/>
      <c r="N184" s="124"/>
      <c r="O184" s="124"/>
      <c r="P184" s="124"/>
      <c r="Q184" s="124"/>
      <c r="R184" s="124"/>
      <c r="S184" s="124"/>
    </row>
    <row r="185" spans="1:19" ht="15">
      <c r="A185" s="122"/>
      <c r="B185" s="122"/>
      <c r="C185" s="122"/>
      <c r="E185" s="122"/>
      <c r="F185" s="122"/>
      <c r="G185" s="124"/>
      <c r="H185" s="123"/>
      <c r="I185" s="123"/>
      <c r="J185" s="123"/>
      <c r="K185" s="123"/>
      <c r="L185" s="123"/>
      <c r="M185" s="124"/>
      <c r="N185" s="124"/>
      <c r="O185" s="124"/>
      <c r="P185" s="124"/>
      <c r="Q185" s="124"/>
      <c r="R185" s="124"/>
      <c r="S185" s="124"/>
    </row>
    <row r="186" spans="1:19" ht="15">
      <c r="A186" s="122"/>
      <c r="B186" s="122"/>
      <c r="C186" s="122"/>
      <c r="E186" s="122"/>
      <c r="F186" s="122"/>
      <c r="G186" s="124"/>
      <c r="H186" s="123"/>
      <c r="I186" s="123"/>
      <c r="J186" s="123"/>
      <c r="K186" s="123"/>
      <c r="L186" s="123"/>
      <c r="M186" s="124"/>
      <c r="N186" s="124"/>
      <c r="O186" s="124"/>
      <c r="P186" s="124"/>
      <c r="Q186" s="124"/>
      <c r="R186" s="124"/>
      <c r="S186" s="124"/>
    </row>
    <row r="187" spans="1:19" ht="15">
      <c r="A187" s="122"/>
      <c r="B187" s="122"/>
      <c r="C187" s="122"/>
      <c r="E187" s="122"/>
      <c r="F187" s="122"/>
      <c r="G187" s="124"/>
      <c r="H187" s="123"/>
      <c r="I187" s="123"/>
      <c r="J187" s="123"/>
      <c r="K187" s="123"/>
      <c r="L187" s="123"/>
      <c r="M187" s="124"/>
      <c r="N187" s="124"/>
      <c r="O187" s="124"/>
      <c r="P187" s="124"/>
      <c r="Q187" s="124"/>
      <c r="R187" s="124"/>
      <c r="S187" s="124"/>
    </row>
    <row r="188" spans="1:19" ht="15">
      <c r="A188" s="122"/>
      <c r="B188" s="122"/>
      <c r="C188" s="122"/>
      <c r="E188" s="122"/>
      <c r="F188" s="122"/>
      <c r="G188" s="124"/>
      <c r="H188" s="123"/>
      <c r="I188" s="123"/>
      <c r="J188" s="123"/>
      <c r="K188" s="123"/>
      <c r="L188" s="123"/>
      <c r="M188" s="124"/>
      <c r="N188" s="124"/>
      <c r="O188" s="124"/>
      <c r="P188" s="124"/>
      <c r="Q188" s="124"/>
      <c r="R188" s="124"/>
      <c r="S188" s="124"/>
    </row>
    <row r="189" spans="1:19" ht="15">
      <c r="A189" s="122"/>
      <c r="B189" s="122"/>
      <c r="C189" s="122"/>
      <c r="E189" s="122"/>
      <c r="F189" s="122"/>
      <c r="G189" s="124"/>
      <c r="H189" s="123"/>
      <c r="I189" s="123"/>
      <c r="J189" s="123"/>
      <c r="K189" s="123"/>
      <c r="L189" s="123"/>
      <c r="M189" s="124"/>
      <c r="N189" s="124"/>
      <c r="O189" s="124"/>
      <c r="P189" s="124"/>
      <c r="Q189" s="124"/>
      <c r="R189" s="124"/>
      <c r="S189" s="124"/>
    </row>
    <row r="190" spans="1:19" ht="15">
      <c r="A190" s="122"/>
      <c r="B190" s="122"/>
      <c r="C190" s="122"/>
      <c r="E190" s="122"/>
      <c r="F190" s="122"/>
      <c r="G190" s="124"/>
      <c r="H190" s="123"/>
      <c r="I190" s="123"/>
      <c r="J190" s="123"/>
      <c r="K190" s="123"/>
      <c r="L190" s="123"/>
      <c r="M190" s="124"/>
      <c r="N190" s="124"/>
      <c r="O190" s="124"/>
      <c r="P190" s="124"/>
      <c r="Q190" s="124"/>
      <c r="R190" s="124"/>
      <c r="S190" s="124"/>
    </row>
    <row r="191" spans="1:19" ht="15">
      <c r="A191" s="122"/>
      <c r="B191" s="122"/>
      <c r="C191" s="122"/>
      <c r="E191" s="122"/>
      <c r="F191" s="122"/>
      <c r="G191" s="124"/>
      <c r="H191" s="123"/>
      <c r="I191" s="123"/>
      <c r="J191" s="123"/>
      <c r="K191" s="123"/>
      <c r="L191" s="123"/>
      <c r="M191" s="124"/>
      <c r="N191" s="124"/>
      <c r="O191" s="124"/>
      <c r="P191" s="124"/>
      <c r="Q191" s="124"/>
      <c r="R191" s="124"/>
      <c r="S191" s="124"/>
    </row>
    <row r="192" spans="1:19" ht="15">
      <c r="A192" s="122"/>
      <c r="B192" s="122"/>
      <c r="C192" s="122"/>
      <c r="E192" s="122"/>
      <c r="F192" s="122"/>
      <c r="G192" s="124"/>
      <c r="H192" s="123"/>
      <c r="I192" s="123"/>
      <c r="J192" s="123"/>
      <c r="K192" s="123"/>
      <c r="L192" s="123"/>
      <c r="M192" s="124"/>
      <c r="N192" s="124"/>
      <c r="O192" s="124"/>
      <c r="P192" s="124"/>
      <c r="Q192" s="124"/>
      <c r="R192" s="124"/>
      <c r="S192" s="124"/>
    </row>
    <row r="193" spans="1:19" ht="15">
      <c r="A193" s="122"/>
      <c r="B193" s="122"/>
      <c r="C193" s="122"/>
      <c r="E193" s="122"/>
      <c r="F193" s="122"/>
      <c r="G193" s="124"/>
      <c r="H193" s="123"/>
      <c r="I193" s="123"/>
      <c r="J193" s="123"/>
      <c r="K193" s="123"/>
      <c r="L193" s="123"/>
      <c r="M193" s="124"/>
      <c r="N193" s="124"/>
      <c r="O193" s="124"/>
      <c r="P193" s="124"/>
      <c r="Q193" s="124"/>
      <c r="R193" s="124"/>
      <c r="S193" s="124"/>
    </row>
    <row r="194" spans="1:19" ht="15">
      <c r="A194" s="122"/>
      <c r="B194" s="122"/>
      <c r="C194" s="122"/>
      <c r="E194" s="122"/>
      <c r="F194" s="122"/>
      <c r="G194" s="124"/>
      <c r="H194" s="123"/>
      <c r="I194" s="123"/>
      <c r="J194" s="123"/>
      <c r="K194" s="123"/>
      <c r="L194" s="123"/>
      <c r="M194" s="124"/>
      <c r="N194" s="124"/>
      <c r="O194" s="124"/>
      <c r="P194" s="124"/>
      <c r="Q194" s="124"/>
      <c r="R194" s="124"/>
      <c r="S194" s="124"/>
    </row>
    <row r="195" spans="1:19" ht="15">
      <c r="A195" s="122"/>
      <c r="B195" s="122"/>
      <c r="C195" s="122"/>
      <c r="E195" s="122"/>
      <c r="F195" s="122"/>
      <c r="G195" s="124"/>
      <c r="H195" s="123"/>
      <c r="I195" s="123"/>
      <c r="J195" s="123"/>
      <c r="K195" s="123"/>
      <c r="L195" s="123"/>
      <c r="M195" s="124"/>
      <c r="N195" s="124"/>
      <c r="O195" s="124"/>
      <c r="P195" s="124"/>
      <c r="Q195" s="124"/>
      <c r="R195" s="124"/>
      <c r="S195" s="124"/>
    </row>
    <row r="196" spans="1:19" ht="15">
      <c r="A196" s="122"/>
      <c r="B196" s="122"/>
      <c r="C196" s="122"/>
      <c r="E196" s="122"/>
      <c r="F196" s="122"/>
      <c r="G196" s="124"/>
      <c r="H196" s="123"/>
      <c r="I196" s="123"/>
      <c r="J196" s="123"/>
      <c r="K196" s="123"/>
      <c r="L196" s="123"/>
      <c r="M196" s="124"/>
      <c r="N196" s="124"/>
      <c r="O196" s="124"/>
      <c r="P196" s="124"/>
      <c r="Q196" s="124"/>
      <c r="R196" s="124"/>
      <c r="S196" s="124"/>
    </row>
    <row r="197" spans="1:19" ht="15">
      <c r="A197" s="122"/>
      <c r="B197" s="122"/>
      <c r="C197" s="122"/>
      <c r="E197" s="122"/>
      <c r="F197" s="122"/>
      <c r="G197" s="124"/>
      <c r="H197" s="123"/>
      <c r="I197" s="123"/>
      <c r="J197" s="123"/>
      <c r="K197" s="123"/>
      <c r="L197" s="123"/>
      <c r="M197" s="124"/>
      <c r="N197" s="124"/>
      <c r="O197" s="124"/>
      <c r="P197" s="124"/>
      <c r="Q197" s="124"/>
      <c r="R197" s="124"/>
      <c r="S197" s="124"/>
    </row>
    <row r="198" spans="1:19" ht="15">
      <c r="A198" s="122"/>
      <c r="B198" s="122"/>
      <c r="C198" s="122"/>
      <c r="E198" s="122"/>
      <c r="F198" s="122"/>
      <c r="G198" s="124"/>
      <c r="H198" s="123"/>
      <c r="I198" s="123"/>
      <c r="J198" s="123"/>
      <c r="K198" s="123"/>
      <c r="L198" s="123"/>
      <c r="M198" s="124"/>
      <c r="N198" s="124"/>
      <c r="O198" s="124"/>
      <c r="P198" s="124"/>
      <c r="Q198" s="124"/>
      <c r="R198" s="124"/>
      <c r="S198" s="124"/>
    </row>
    <row r="199" spans="1:19" ht="15">
      <c r="A199" s="122"/>
      <c r="B199" s="122"/>
      <c r="C199" s="122"/>
      <c r="E199" s="122"/>
      <c r="F199" s="122"/>
      <c r="G199" s="124"/>
      <c r="H199" s="123"/>
      <c r="I199" s="123"/>
      <c r="J199" s="123"/>
      <c r="K199" s="123"/>
      <c r="L199" s="123"/>
      <c r="M199" s="124"/>
      <c r="N199" s="124"/>
      <c r="O199" s="124"/>
      <c r="P199" s="124"/>
      <c r="Q199" s="124"/>
      <c r="R199" s="124"/>
      <c r="S199" s="124"/>
    </row>
    <row r="200" spans="1:19" ht="15">
      <c r="A200" s="122"/>
      <c r="B200" s="122"/>
      <c r="C200" s="122"/>
      <c r="E200" s="122"/>
      <c r="F200" s="122"/>
      <c r="G200" s="124"/>
      <c r="H200" s="123"/>
      <c r="I200" s="123"/>
      <c r="J200" s="123"/>
      <c r="K200" s="123"/>
      <c r="L200" s="123"/>
      <c r="M200" s="124"/>
      <c r="N200" s="124"/>
      <c r="O200" s="124"/>
      <c r="P200" s="124"/>
      <c r="Q200" s="124"/>
      <c r="R200" s="124"/>
      <c r="S200" s="124"/>
    </row>
    <row r="201" spans="1:19" ht="15">
      <c r="A201" s="122"/>
      <c r="B201" s="122"/>
      <c r="C201" s="122"/>
      <c r="E201" s="122"/>
      <c r="F201" s="122"/>
      <c r="G201" s="124"/>
      <c r="H201" s="123"/>
      <c r="I201" s="123"/>
      <c r="J201" s="123"/>
      <c r="K201" s="123"/>
      <c r="L201" s="123"/>
      <c r="M201" s="124"/>
      <c r="N201" s="124"/>
      <c r="O201" s="124"/>
      <c r="P201" s="124"/>
      <c r="Q201" s="124"/>
      <c r="R201" s="124"/>
      <c r="S201" s="124"/>
    </row>
    <row r="202" spans="1:19" ht="15">
      <c r="A202" s="122"/>
      <c r="B202" s="122"/>
      <c r="C202" s="122"/>
      <c r="E202" s="122"/>
      <c r="F202" s="122"/>
      <c r="G202" s="124"/>
      <c r="H202" s="123"/>
      <c r="I202" s="123"/>
      <c r="J202" s="123"/>
      <c r="K202" s="123"/>
      <c r="L202" s="123"/>
      <c r="M202" s="124"/>
      <c r="N202" s="124"/>
      <c r="O202" s="124"/>
      <c r="P202" s="124"/>
      <c r="Q202" s="124"/>
      <c r="R202" s="124"/>
      <c r="S202" s="124"/>
    </row>
    <row r="203" spans="1:19" ht="15">
      <c r="A203" s="122"/>
      <c r="B203" s="122"/>
      <c r="C203" s="122"/>
      <c r="E203" s="122"/>
      <c r="F203" s="122"/>
      <c r="G203" s="124"/>
      <c r="H203" s="123"/>
      <c r="I203" s="123"/>
      <c r="J203" s="123"/>
      <c r="K203" s="123"/>
      <c r="L203" s="123"/>
      <c r="M203" s="124"/>
      <c r="N203" s="124"/>
      <c r="O203" s="124"/>
      <c r="P203" s="124"/>
      <c r="Q203" s="124"/>
      <c r="R203" s="124"/>
      <c r="S203" s="124"/>
    </row>
    <row r="204" spans="1:19" ht="15">
      <c r="A204" s="122"/>
      <c r="B204" s="122"/>
      <c r="C204" s="122"/>
      <c r="E204" s="122"/>
      <c r="F204" s="122"/>
      <c r="G204" s="124"/>
      <c r="H204" s="123"/>
      <c r="I204" s="123"/>
      <c r="J204" s="123"/>
      <c r="K204" s="123"/>
      <c r="L204" s="123"/>
      <c r="M204" s="124"/>
      <c r="N204" s="124"/>
      <c r="O204" s="124"/>
      <c r="P204" s="124"/>
      <c r="Q204" s="124"/>
      <c r="R204" s="124"/>
      <c r="S204" s="124"/>
    </row>
    <row r="205" spans="1:19" ht="15">
      <c r="A205" s="122"/>
      <c r="B205" s="122"/>
      <c r="C205" s="122"/>
      <c r="E205" s="122"/>
      <c r="F205" s="122"/>
      <c r="G205" s="124"/>
      <c r="H205" s="123"/>
      <c r="I205" s="123"/>
      <c r="J205" s="123"/>
      <c r="K205" s="123"/>
      <c r="L205" s="123"/>
      <c r="M205" s="124"/>
      <c r="N205" s="124"/>
      <c r="O205" s="124"/>
      <c r="P205" s="124"/>
      <c r="Q205" s="124"/>
      <c r="R205" s="124"/>
      <c r="S205" s="124"/>
    </row>
    <row r="206" spans="1:19" ht="15">
      <c r="A206" s="122"/>
      <c r="B206" s="122"/>
      <c r="C206" s="122"/>
      <c r="E206" s="122"/>
      <c r="F206" s="122"/>
      <c r="G206" s="124"/>
      <c r="H206" s="123"/>
      <c r="I206" s="123"/>
      <c r="J206" s="123"/>
      <c r="K206" s="123"/>
      <c r="L206" s="123"/>
      <c r="M206" s="124"/>
      <c r="N206" s="124"/>
      <c r="O206" s="124"/>
      <c r="P206" s="124"/>
      <c r="Q206" s="124"/>
      <c r="R206" s="124"/>
      <c r="S206" s="124"/>
    </row>
    <row r="207" spans="1:19" ht="15">
      <c r="A207" s="122"/>
      <c r="B207" s="122"/>
      <c r="C207" s="122"/>
      <c r="E207" s="122"/>
      <c r="F207" s="122"/>
      <c r="G207" s="124"/>
      <c r="H207" s="123"/>
      <c r="I207" s="123"/>
      <c r="J207" s="123"/>
      <c r="K207" s="123"/>
      <c r="L207" s="123"/>
      <c r="M207" s="124"/>
      <c r="N207" s="124"/>
      <c r="O207" s="124"/>
      <c r="P207" s="124"/>
      <c r="Q207" s="124"/>
      <c r="R207" s="124"/>
      <c r="S207" s="124"/>
    </row>
    <row r="208" spans="1:19" ht="15">
      <c r="A208" s="122"/>
      <c r="B208" s="122"/>
      <c r="C208" s="122"/>
      <c r="E208" s="122"/>
      <c r="F208" s="122"/>
      <c r="G208" s="124"/>
      <c r="H208" s="123"/>
      <c r="I208" s="123"/>
      <c r="J208" s="123"/>
      <c r="K208" s="123"/>
      <c r="L208" s="123"/>
      <c r="M208" s="124"/>
      <c r="N208" s="124"/>
      <c r="O208" s="124"/>
      <c r="P208" s="124"/>
      <c r="Q208" s="124"/>
      <c r="R208" s="124"/>
      <c r="S208" s="124"/>
    </row>
    <row r="209" spans="1:19" ht="15">
      <c r="A209" s="122"/>
      <c r="B209" s="122"/>
      <c r="C209" s="122"/>
      <c r="E209" s="122"/>
      <c r="F209" s="122"/>
      <c r="G209" s="124"/>
      <c r="H209" s="123"/>
      <c r="I209" s="123"/>
      <c r="J209" s="123"/>
      <c r="K209" s="123"/>
      <c r="L209" s="123"/>
      <c r="M209" s="124"/>
      <c r="N209" s="124"/>
      <c r="O209" s="124"/>
      <c r="P209" s="124"/>
      <c r="Q209" s="124"/>
      <c r="R209" s="124"/>
      <c r="S209" s="124"/>
    </row>
    <row r="210" spans="1:19" ht="15">
      <c r="A210" s="122"/>
      <c r="B210" s="122"/>
      <c r="C210" s="122"/>
      <c r="E210" s="122"/>
      <c r="F210" s="122"/>
      <c r="G210" s="124"/>
      <c r="H210" s="123"/>
      <c r="I210" s="123"/>
      <c r="J210" s="123"/>
      <c r="K210" s="123"/>
      <c r="L210" s="123"/>
      <c r="M210" s="124"/>
      <c r="N210" s="124"/>
      <c r="O210" s="124"/>
      <c r="P210" s="124"/>
      <c r="Q210" s="124"/>
      <c r="R210" s="124"/>
      <c r="S210" s="124"/>
    </row>
    <row r="211" spans="1:19" ht="15">
      <c r="A211" s="122"/>
      <c r="B211" s="122"/>
      <c r="C211" s="122"/>
      <c r="E211" s="122"/>
      <c r="F211" s="122"/>
      <c r="G211" s="124"/>
      <c r="H211" s="123"/>
      <c r="I211" s="123"/>
      <c r="J211" s="123"/>
      <c r="K211" s="123"/>
      <c r="L211" s="123"/>
      <c r="M211" s="124"/>
      <c r="N211" s="124"/>
      <c r="O211" s="124"/>
      <c r="P211" s="124"/>
      <c r="Q211" s="124"/>
      <c r="R211" s="124"/>
      <c r="S211" s="124"/>
    </row>
    <row r="212" spans="1:19" ht="15">
      <c r="A212" s="122"/>
      <c r="B212" s="122"/>
      <c r="C212" s="122"/>
      <c r="E212" s="122"/>
      <c r="F212" s="122"/>
      <c r="G212" s="124"/>
      <c r="H212" s="123"/>
      <c r="I212" s="123"/>
      <c r="J212" s="123"/>
      <c r="K212" s="123"/>
      <c r="L212" s="123"/>
      <c r="M212" s="124"/>
      <c r="N212" s="124"/>
      <c r="O212" s="124"/>
      <c r="P212" s="124"/>
      <c r="Q212" s="124"/>
      <c r="R212" s="124"/>
      <c r="S212" s="124"/>
    </row>
    <row r="213" spans="1:19" ht="15">
      <c r="A213" s="122"/>
      <c r="B213" s="122"/>
      <c r="C213" s="122"/>
      <c r="E213" s="122"/>
      <c r="F213" s="122"/>
      <c r="G213" s="124"/>
      <c r="H213" s="123"/>
      <c r="I213" s="123"/>
      <c r="J213" s="123"/>
      <c r="K213" s="123"/>
      <c r="L213" s="123"/>
      <c r="M213" s="124"/>
      <c r="N213" s="124"/>
      <c r="O213" s="124"/>
      <c r="P213" s="124"/>
      <c r="Q213" s="124"/>
      <c r="R213" s="124"/>
      <c r="S213" s="124"/>
    </row>
    <row r="214" spans="1:19" ht="15">
      <c r="A214" s="122"/>
      <c r="B214" s="122"/>
      <c r="C214" s="122"/>
      <c r="E214" s="122"/>
      <c r="F214" s="122"/>
      <c r="G214" s="124"/>
      <c r="H214" s="123"/>
      <c r="I214" s="123"/>
      <c r="J214" s="123"/>
      <c r="K214" s="123"/>
      <c r="L214" s="123"/>
      <c r="M214" s="124"/>
      <c r="N214" s="124"/>
      <c r="O214" s="124"/>
      <c r="P214" s="124"/>
      <c r="Q214" s="124"/>
      <c r="R214" s="124"/>
      <c r="S214" s="124"/>
    </row>
    <row r="215" spans="1:19" ht="15">
      <c r="A215" s="122"/>
      <c r="B215" s="122"/>
      <c r="C215" s="122"/>
      <c r="E215" s="122"/>
      <c r="F215" s="122"/>
      <c r="G215" s="124"/>
      <c r="H215" s="123"/>
      <c r="I215" s="123"/>
      <c r="J215" s="123"/>
      <c r="K215" s="123"/>
      <c r="L215" s="123"/>
      <c r="M215" s="124"/>
      <c r="N215" s="124"/>
      <c r="O215" s="124"/>
      <c r="P215" s="124"/>
      <c r="Q215" s="124"/>
      <c r="R215" s="124"/>
      <c r="S215" s="124"/>
    </row>
    <row r="216" spans="1:19" ht="15">
      <c r="A216" s="122"/>
      <c r="B216" s="122"/>
      <c r="C216" s="122"/>
      <c r="E216" s="122"/>
      <c r="F216" s="122"/>
      <c r="G216" s="124"/>
      <c r="H216" s="123"/>
      <c r="I216" s="123"/>
      <c r="J216" s="123"/>
      <c r="K216" s="123"/>
      <c r="L216" s="123"/>
      <c r="M216" s="124"/>
      <c r="N216" s="124"/>
      <c r="O216" s="124"/>
      <c r="P216" s="124"/>
      <c r="Q216" s="124"/>
      <c r="R216" s="124"/>
      <c r="S216" s="124"/>
    </row>
    <row r="217" spans="1:19" ht="15">
      <c r="A217" s="122"/>
      <c r="B217" s="122"/>
      <c r="C217" s="122"/>
      <c r="E217" s="122"/>
      <c r="F217" s="122"/>
      <c r="G217" s="124"/>
      <c r="H217" s="123"/>
      <c r="I217" s="123"/>
      <c r="J217" s="123"/>
      <c r="K217" s="123"/>
      <c r="L217" s="123"/>
      <c r="M217" s="124"/>
      <c r="N217" s="124"/>
      <c r="O217" s="124"/>
      <c r="P217" s="124"/>
      <c r="Q217" s="124"/>
      <c r="R217" s="124"/>
      <c r="S217" s="124"/>
    </row>
    <row r="218" spans="1:19" ht="15">
      <c r="A218" s="122"/>
      <c r="B218" s="122"/>
      <c r="C218" s="122"/>
      <c r="E218" s="122"/>
      <c r="F218" s="122"/>
      <c r="G218" s="124"/>
      <c r="H218" s="123"/>
      <c r="I218" s="123"/>
      <c r="J218" s="123"/>
      <c r="K218" s="123"/>
      <c r="L218" s="123"/>
      <c r="M218" s="124"/>
      <c r="N218" s="124"/>
      <c r="O218" s="124"/>
      <c r="P218" s="124"/>
      <c r="Q218" s="124"/>
      <c r="R218" s="124"/>
      <c r="S218" s="124"/>
    </row>
    <row r="219" spans="1:19" ht="15">
      <c r="A219" s="122"/>
      <c r="B219" s="122"/>
      <c r="C219" s="122"/>
      <c r="E219" s="122"/>
      <c r="F219" s="122"/>
      <c r="G219" s="124"/>
      <c r="H219" s="123"/>
      <c r="I219" s="123"/>
      <c r="J219" s="123"/>
      <c r="K219" s="123"/>
      <c r="L219" s="123"/>
      <c r="M219" s="124"/>
      <c r="N219" s="124"/>
      <c r="O219" s="124"/>
      <c r="P219" s="124"/>
      <c r="Q219" s="124"/>
      <c r="R219" s="124"/>
      <c r="S219" s="124"/>
    </row>
    <row r="220" spans="1:19" ht="15">
      <c r="A220" s="122"/>
      <c r="B220" s="122"/>
      <c r="C220" s="122"/>
      <c r="E220" s="122"/>
      <c r="F220" s="122"/>
      <c r="G220" s="124"/>
      <c r="H220" s="123"/>
      <c r="I220" s="123"/>
      <c r="J220" s="123"/>
      <c r="K220" s="123"/>
      <c r="L220" s="123"/>
      <c r="M220" s="124"/>
      <c r="N220" s="124"/>
      <c r="O220" s="124"/>
      <c r="P220" s="124"/>
      <c r="Q220" s="124"/>
      <c r="R220" s="124"/>
      <c r="S220" s="124"/>
    </row>
    <row r="221" spans="1:19" ht="15">
      <c r="A221" s="122"/>
      <c r="B221" s="122"/>
      <c r="C221" s="122"/>
      <c r="E221" s="122"/>
      <c r="F221" s="122"/>
      <c r="G221" s="124"/>
      <c r="H221" s="123"/>
      <c r="I221" s="123"/>
      <c r="J221" s="123"/>
      <c r="K221" s="123"/>
      <c r="L221" s="123"/>
      <c r="M221" s="124"/>
      <c r="N221" s="124"/>
      <c r="O221" s="124"/>
      <c r="P221" s="124"/>
      <c r="Q221" s="124"/>
      <c r="R221" s="124"/>
      <c r="S221" s="124"/>
    </row>
    <row r="222" spans="1:19" ht="15">
      <c r="A222" s="122"/>
      <c r="B222" s="122"/>
      <c r="C222" s="122"/>
      <c r="E222" s="122"/>
      <c r="F222" s="122"/>
      <c r="G222" s="124"/>
      <c r="H222" s="123"/>
      <c r="I222" s="123"/>
      <c r="J222" s="123"/>
      <c r="K222" s="123"/>
      <c r="L222" s="123"/>
      <c r="M222" s="124"/>
      <c r="N222" s="124"/>
      <c r="O222" s="124"/>
      <c r="P222" s="124"/>
      <c r="Q222" s="124"/>
      <c r="R222" s="124"/>
      <c r="S222" s="124"/>
    </row>
    <row r="223" spans="1:19" ht="15">
      <c r="A223" s="122"/>
      <c r="B223" s="122"/>
      <c r="C223" s="122"/>
      <c r="E223" s="122"/>
      <c r="F223" s="122"/>
      <c r="G223" s="124"/>
      <c r="H223" s="123"/>
      <c r="I223" s="123"/>
      <c r="J223" s="123"/>
      <c r="K223" s="123"/>
      <c r="L223" s="123"/>
      <c r="M223" s="124"/>
      <c r="N223" s="124"/>
      <c r="O223" s="124"/>
      <c r="P223" s="124"/>
      <c r="Q223" s="124"/>
      <c r="R223" s="124"/>
      <c r="S223" s="124"/>
    </row>
    <row r="224" spans="1:19" ht="15">
      <c r="A224" s="122"/>
      <c r="B224" s="122"/>
      <c r="C224" s="122"/>
      <c r="E224" s="122"/>
      <c r="F224" s="122"/>
      <c r="G224" s="124"/>
      <c r="H224" s="123"/>
      <c r="I224" s="123"/>
      <c r="J224" s="123"/>
      <c r="K224" s="123"/>
      <c r="L224" s="123"/>
      <c r="M224" s="124"/>
      <c r="N224" s="124"/>
      <c r="O224" s="124"/>
      <c r="P224" s="124"/>
      <c r="Q224" s="124"/>
      <c r="R224" s="124"/>
      <c r="S224" s="124"/>
    </row>
    <row r="225" spans="1:19" ht="15">
      <c r="A225" s="122"/>
      <c r="B225" s="122"/>
      <c r="C225" s="122"/>
      <c r="E225" s="122"/>
      <c r="F225" s="122"/>
      <c r="G225" s="124"/>
      <c r="H225" s="123"/>
      <c r="I225" s="123"/>
      <c r="J225" s="123"/>
      <c r="K225" s="123"/>
      <c r="L225" s="123"/>
      <c r="M225" s="124"/>
      <c r="N225" s="124"/>
      <c r="O225" s="124"/>
      <c r="P225" s="124"/>
      <c r="Q225" s="124"/>
      <c r="R225" s="124"/>
      <c r="S225" s="124"/>
    </row>
    <row r="226" spans="1:19" ht="15">
      <c r="A226" s="122"/>
      <c r="B226" s="122"/>
      <c r="C226" s="122"/>
      <c r="E226" s="122"/>
      <c r="F226" s="122"/>
      <c r="G226" s="124"/>
      <c r="H226" s="123"/>
      <c r="I226" s="123"/>
      <c r="J226" s="123"/>
      <c r="K226" s="123"/>
      <c r="L226" s="123"/>
      <c r="M226" s="124"/>
      <c r="N226" s="124"/>
      <c r="O226" s="124"/>
      <c r="P226" s="124"/>
      <c r="Q226" s="124"/>
      <c r="R226" s="124"/>
      <c r="S226" s="124"/>
    </row>
    <row r="227" spans="1:19" ht="15">
      <c r="A227" s="122"/>
      <c r="B227" s="122"/>
      <c r="C227" s="122"/>
      <c r="E227" s="122"/>
      <c r="F227" s="122"/>
      <c r="G227" s="124"/>
      <c r="H227" s="123"/>
      <c r="I227" s="123"/>
      <c r="J227" s="123"/>
      <c r="K227" s="123"/>
      <c r="L227" s="123"/>
      <c r="M227" s="124"/>
      <c r="N227" s="124"/>
      <c r="O227" s="124"/>
      <c r="P227" s="124"/>
      <c r="Q227" s="124"/>
      <c r="R227" s="124"/>
      <c r="S227" s="124"/>
    </row>
    <row r="228" spans="1:19" ht="15">
      <c r="A228" s="122"/>
      <c r="B228" s="122"/>
      <c r="C228" s="122"/>
      <c r="E228" s="122"/>
      <c r="F228" s="122"/>
      <c r="G228" s="124"/>
      <c r="H228" s="123"/>
      <c r="I228" s="123"/>
      <c r="J228" s="123"/>
      <c r="K228" s="123"/>
      <c r="L228" s="123"/>
      <c r="M228" s="124"/>
      <c r="N228" s="124"/>
      <c r="O228" s="124"/>
      <c r="P228" s="124"/>
      <c r="Q228" s="124"/>
      <c r="R228" s="124"/>
      <c r="S228" s="124"/>
    </row>
    <row r="229" spans="1:19" ht="15">
      <c r="A229" s="122"/>
      <c r="B229" s="122"/>
      <c r="C229" s="122"/>
      <c r="E229" s="122"/>
      <c r="F229" s="122"/>
      <c r="G229" s="124"/>
      <c r="H229" s="123"/>
      <c r="I229" s="123"/>
      <c r="J229" s="123"/>
      <c r="K229" s="123"/>
      <c r="L229" s="123"/>
      <c r="M229" s="124"/>
      <c r="N229" s="124"/>
      <c r="O229" s="124"/>
      <c r="P229" s="124"/>
      <c r="Q229" s="124"/>
      <c r="R229" s="124"/>
      <c r="S229" s="124"/>
    </row>
    <row r="230" spans="1:19" ht="15">
      <c r="A230" s="122"/>
      <c r="B230" s="122"/>
      <c r="C230" s="122"/>
      <c r="E230" s="122"/>
      <c r="F230" s="122"/>
      <c r="G230" s="124"/>
      <c r="H230" s="123"/>
      <c r="I230" s="123"/>
      <c r="J230" s="123"/>
      <c r="K230" s="123"/>
      <c r="L230" s="123"/>
      <c r="M230" s="124"/>
      <c r="N230" s="124"/>
      <c r="O230" s="124"/>
      <c r="P230" s="124"/>
      <c r="Q230" s="124"/>
      <c r="R230" s="124"/>
      <c r="S230" s="124"/>
    </row>
    <row r="231" spans="1:19" ht="15">
      <c r="A231" s="122"/>
      <c r="B231" s="122"/>
      <c r="C231" s="122"/>
      <c r="E231" s="122"/>
      <c r="F231" s="122"/>
      <c r="G231" s="124"/>
      <c r="H231" s="123"/>
      <c r="I231" s="123"/>
      <c r="J231" s="123"/>
      <c r="K231" s="123"/>
      <c r="L231" s="123"/>
      <c r="M231" s="124"/>
      <c r="N231" s="124"/>
      <c r="O231" s="124"/>
      <c r="P231" s="124"/>
      <c r="Q231" s="124"/>
      <c r="R231" s="124"/>
      <c r="S231" s="124"/>
    </row>
    <row r="232" spans="1:19" ht="15">
      <c r="A232" s="122"/>
      <c r="B232" s="122"/>
      <c r="C232" s="122"/>
      <c r="E232" s="122"/>
      <c r="F232" s="122"/>
      <c r="G232" s="124"/>
      <c r="H232" s="123"/>
      <c r="I232" s="123"/>
      <c r="J232" s="123"/>
      <c r="K232" s="123"/>
      <c r="L232" s="123"/>
      <c r="M232" s="124"/>
      <c r="N232" s="124"/>
      <c r="O232" s="124"/>
      <c r="P232" s="124"/>
      <c r="Q232" s="124"/>
      <c r="R232" s="124"/>
      <c r="S232" s="124"/>
    </row>
    <row r="233" spans="1:19" ht="15">
      <c r="A233" s="122"/>
      <c r="B233" s="122"/>
      <c r="C233" s="122"/>
      <c r="E233" s="122"/>
      <c r="F233" s="122"/>
      <c r="G233" s="124"/>
      <c r="H233" s="123"/>
      <c r="I233" s="123"/>
      <c r="J233" s="123"/>
      <c r="K233" s="123"/>
      <c r="L233" s="123"/>
      <c r="M233" s="124"/>
      <c r="N233" s="124"/>
      <c r="O233" s="124"/>
      <c r="P233" s="124"/>
      <c r="Q233" s="124"/>
      <c r="R233" s="124"/>
      <c r="S233" s="124"/>
    </row>
    <row r="234" spans="1:19" ht="15">
      <c r="A234" s="122"/>
      <c r="B234" s="122"/>
      <c r="C234" s="122"/>
      <c r="E234" s="122"/>
      <c r="F234" s="122"/>
      <c r="G234" s="124"/>
      <c r="H234" s="123"/>
      <c r="I234" s="123"/>
      <c r="J234" s="123"/>
      <c r="K234" s="123"/>
      <c r="L234" s="123"/>
      <c r="M234" s="124"/>
      <c r="N234" s="124"/>
      <c r="O234" s="124"/>
      <c r="P234" s="124"/>
      <c r="Q234" s="124"/>
      <c r="R234" s="124"/>
      <c r="S234" s="124"/>
    </row>
    <row r="235" spans="1:19" ht="15">
      <c r="A235" s="122"/>
      <c r="B235" s="122"/>
      <c r="C235" s="122"/>
      <c r="E235" s="122"/>
      <c r="F235" s="122"/>
      <c r="G235" s="124"/>
      <c r="H235" s="123"/>
      <c r="I235" s="123"/>
      <c r="J235" s="123"/>
      <c r="K235" s="123"/>
      <c r="L235" s="123"/>
      <c r="M235" s="124"/>
      <c r="N235" s="124"/>
      <c r="O235" s="124"/>
      <c r="P235" s="124"/>
      <c r="Q235" s="124"/>
      <c r="R235" s="124"/>
      <c r="S235" s="124"/>
    </row>
    <row r="236" spans="1:19" ht="15">
      <c r="A236" s="122"/>
      <c r="B236" s="122"/>
      <c r="C236" s="122"/>
      <c r="E236" s="122"/>
      <c r="F236" s="122"/>
      <c r="G236" s="124"/>
      <c r="H236" s="123"/>
      <c r="I236" s="123"/>
      <c r="J236" s="123"/>
      <c r="K236" s="123"/>
      <c r="L236" s="123"/>
      <c r="M236" s="124"/>
      <c r="N236" s="124"/>
      <c r="O236" s="124"/>
      <c r="P236" s="124"/>
      <c r="Q236" s="124"/>
      <c r="R236" s="124"/>
      <c r="S236" s="124"/>
    </row>
    <row r="237" spans="1:19" ht="15">
      <c r="A237" s="122"/>
      <c r="B237" s="122"/>
      <c r="C237" s="122"/>
      <c r="E237" s="122"/>
      <c r="F237" s="122"/>
      <c r="G237" s="124"/>
      <c r="H237" s="123"/>
      <c r="I237" s="123"/>
      <c r="J237" s="123"/>
      <c r="K237" s="123"/>
      <c r="L237" s="123"/>
      <c r="M237" s="124"/>
      <c r="N237" s="124"/>
      <c r="O237" s="124"/>
      <c r="P237" s="124"/>
      <c r="Q237" s="124"/>
      <c r="R237" s="124"/>
      <c r="S237" s="124"/>
    </row>
    <row r="238" spans="1:19" ht="15">
      <c r="A238" s="122"/>
      <c r="B238" s="122"/>
      <c r="C238" s="122"/>
      <c r="E238" s="122"/>
      <c r="F238" s="122"/>
      <c r="G238" s="124"/>
      <c r="H238" s="123"/>
      <c r="I238" s="123"/>
      <c r="J238" s="123"/>
      <c r="K238" s="123"/>
      <c r="L238" s="123"/>
      <c r="M238" s="124"/>
      <c r="N238" s="124"/>
      <c r="O238" s="124"/>
      <c r="P238" s="124"/>
      <c r="Q238" s="124"/>
      <c r="R238" s="124"/>
      <c r="S238" s="124"/>
    </row>
    <row r="239" spans="1:19" ht="15">
      <c r="A239" s="122"/>
      <c r="B239" s="122"/>
      <c r="C239" s="122"/>
      <c r="E239" s="122"/>
      <c r="F239" s="122"/>
      <c r="G239" s="124"/>
      <c r="H239" s="123"/>
      <c r="I239" s="123"/>
      <c r="J239" s="123"/>
      <c r="K239" s="123"/>
      <c r="L239" s="123"/>
      <c r="M239" s="124"/>
      <c r="N239" s="124"/>
      <c r="O239" s="124"/>
      <c r="P239" s="124"/>
      <c r="Q239" s="124"/>
      <c r="R239" s="124"/>
      <c r="S239" s="124"/>
    </row>
    <row r="240" spans="1:19" ht="15">
      <c r="A240" s="122"/>
      <c r="B240" s="122"/>
      <c r="C240" s="122"/>
      <c r="E240" s="122"/>
      <c r="F240" s="122"/>
      <c r="G240" s="124"/>
      <c r="H240" s="123"/>
      <c r="I240" s="123"/>
      <c r="J240" s="123"/>
      <c r="K240" s="123"/>
      <c r="L240" s="123"/>
      <c r="M240" s="124"/>
      <c r="N240" s="124"/>
      <c r="O240" s="124"/>
      <c r="P240" s="124"/>
      <c r="Q240" s="124"/>
      <c r="R240" s="124"/>
      <c r="S240" s="124"/>
    </row>
    <row r="241" spans="1:19" ht="15">
      <c r="A241" s="122"/>
      <c r="B241" s="122"/>
      <c r="C241" s="122"/>
      <c r="E241" s="122"/>
      <c r="F241" s="122"/>
      <c r="G241" s="124"/>
      <c r="H241" s="123"/>
      <c r="I241" s="123"/>
      <c r="J241" s="123"/>
      <c r="K241" s="123"/>
      <c r="L241" s="123"/>
      <c r="M241" s="124"/>
      <c r="N241" s="124"/>
      <c r="O241" s="124"/>
      <c r="P241" s="124"/>
      <c r="Q241" s="124"/>
      <c r="R241" s="124"/>
      <c r="S241" s="124"/>
    </row>
    <row r="242" spans="1:19" ht="15">
      <c r="A242" s="122"/>
      <c r="B242" s="122"/>
      <c r="C242" s="122"/>
      <c r="E242" s="122"/>
      <c r="F242" s="122"/>
      <c r="G242" s="124"/>
      <c r="H242" s="123"/>
      <c r="I242" s="123"/>
      <c r="J242" s="123"/>
      <c r="K242" s="123"/>
      <c r="L242" s="123"/>
      <c r="M242" s="124"/>
      <c r="N242" s="124"/>
      <c r="O242" s="124"/>
      <c r="P242" s="124"/>
      <c r="Q242" s="124"/>
      <c r="R242" s="124"/>
      <c r="S242" s="124"/>
    </row>
    <row r="243" spans="1:19" ht="15">
      <c r="A243" s="122"/>
      <c r="B243" s="122"/>
      <c r="C243" s="122"/>
      <c r="E243" s="122"/>
      <c r="F243" s="122"/>
      <c r="G243" s="124"/>
      <c r="H243" s="123"/>
      <c r="I243" s="123"/>
      <c r="J243" s="123"/>
      <c r="K243" s="123"/>
      <c r="L243" s="123"/>
      <c r="M243" s="124"/>
      <c r="N243" s="124"/>
      <c r="O243" s="124"/>
      <c r="P243" s="124"/>
      <c r="Q243" s="124"/>
      <c r="R243" s="124"/>
      <c r="S243" s="124"/>
    </row>
    <row r="244" spans="1:19" ht="15">
      <c r="A244" s="122"/>
      <c r="B244" s="122"/>
      <c r="C244" s="122"/>
      <c r="E244" s="122"/>
      <c r="F244" s="122"/>
      <c r="G244" s="124"/>
      <c r="H244" s="123"/>
      <c r="I244" s="123"/>
      <c r="J244" s="123"/>
      <c r="K244" s="123"/>
      <c r="L244" s="123"/>
      <c r="M244" s="124"/>
      <c r="N244" s="124"/>
      <c r="O244" s="124"/>
      <c r="P244" s="124"/>
      <c r="Q244" s="124"/>
      <c r="R244" s="124"/>
      <c r="S244" s="124"/>
    </row>
    <row r="245" spans="1:19" ht="15">
      <c r="A245" s="122"/>
      <c r="B245" s="122"/>
      <c r="C245" s="122"/>
      <c r="E245" s="122"/>
      <c r="F245" s="122"/>
      <c r="G245" s="124"/>
      <c r="H245" s="123"/>
      <c r="I245" s="123"/>
      <c r="J245" s="123"/>
      <c r="K245" s="123"/>
      <c r="L245" s="123"/>
      <c r="M245" s="124"/>
      <c r="N245" s="124"/>
      <c r="O245" s="124"/>
      <c r="P245" s="124"/>
      <c r="Q245" s="124"/>
      <c r="R245" s="124"/>
      <c r="S245" s="124"/>
    </row>
    <row r="246" spans="1:19" ht="15"/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FAD9-BA5D-4EEA-804C-5E9EF5B75980}">
  <dimension ref="A1:C40"/>
  <sheetViews>
    <sheetView topLeftCell="C1" workbookViewId="0">
      <selection activeCell="C1" sqref="C1"/>
    </sheetView>
  </sheetViews>
  <sheetFormatPr defaultRowHeight="15"/>
  <cols>
    <col min="1" max="2" width="42.7109375" bestFit="1" customWidth="1"/>
    <col min="3" max="3" width="27.7109375" bestFit="1" customWidth="1"/>
  </cols>
  <sheetData>
    <row r="1" spans="1:3">
      <c r="A1" t="s">
        <v>26</v>
      </c>
      <c r="B1" t="s">
        <v>652</v>
      </c>
      <c r="C1" t="s">
        <v>1098</v>
      </c>
    </row>
    <row r="2" spans="1:3">
      <c r="A2" t="s">
        <v>934</v>
      </c>
      <c r="B2" t="s">
        <v>937</v>
      </c>
      <c r="C2" t="s">
        <v>1099</v>
      </c>
    </row>
    <row r="3" spans="1:3">
      <c r="A3" t="s">
        <v>980</v>
      </c>
      <c r="B3" t="s">
        <v>983</v>
      </c>
      <c r="C3" t="s">
        <v>1100</v>
      </c>
    </row>
    <row r="4" spans="1:3">
      <c r="A4" t="s">
        <v>1092</v>
      </c>
      <c r="B4" t="s">
        <v>1095</v>
      </c>
    </row>
    <row r="5" spans="1:3">
      <c r="A5" t="s">
        <v>685</v>
      </c>
      <c r="B5" t="s">
        <v>786</v>
      </c>
      <c r="C5" t="s">
        <v>1101</v>
      </c>
    </row>
    <row r="6" spans="1:3">
      <c r="A6" t="s">
        <v>669</v>
      </c>
      <c r="B6" t="s">
        <v>786</v>
      </c>
      <c r="C6" t="s">
        <v>1101</v>
      </c>
    </row>
    <row r="7" spans="1:3">
      <c r="A7" t="s">
        <v>1085</v>
      </c>
      <c r="B7" t="s">
        <v>1088</v>
      </c>
    </row>
    <row r="8" spans="1:3">
      <c r="A8" t="s">
        <v>130</v>
      </c>
      <c r="B8" t="str">
        <f ca="1">Tabela25[[#This Row],[CARGO]]</f>
        <v>CWBEM</v>
      </c>
      <c r="C8" t="str">
        <f ca="1">Tabela25[[#This Row],[CARGO]]</f>
        <v>CWBEM</v>
      </c>
    </row>
    <row r="9" spans="1:3">
      <c r="A9" t="s">
        <v>934</v>
      </c>
      <c r="B9" t="s">
        <v>990</v>
      </c>
      <c r="C9" t="s">
        <v>1102</v>
      </c>
    </row>
    <row r="10" spans="1:3">
      <c r="A10" t="s">
        <v>987</v>
      </c>
      <c r="B10" t="s">
        <v>990</v>
      </c>
      <c r="C10" t="s">
        <v>1102</v>
      </c>
    </row>
    <row r="11" spans="1:3">
      <c r="A11" t="s">
        <v>993</v>
      </c>
      <c r="B11" t="s">
        <v>990</v>
      </c>
      <c r="C11" t="s">
        <v>1102</v>
      </c>
    </row>
    <row r="12" spans="1:3">
      <c r="A12" t="s">
        <v>1073</v>
      </c>
      <c r="B12" t="s">
        <v>1017</v>
      </c>
      <c r="C12" t="s">
        <v>1103</v>
      </c>
    </row>
    <row r="13" spans="1:3">
      <c r="A13" t="s">
        <v>1027</v>
      </c>
      <c r="B13" t="s">
        <v>1017</v>
      </c>
      <c r="C13" t="s">
        <v>1103</v>
      </c>
    </row>
    <row r="14" spans="1:3">
      <c r="A14" t="s">
        <v>1053</v>
      </c>
      <c r="B14" t="s">
        <v>1017</v>
      </c>
      <c r="C14" t="s">
        <v>1103</v>
      </c>
    </row>
    <row r="15" spans="1:3">
      <c r="A15" t="s">
        <v>1061</v>
      </c>
      <c r="B15" t="s">
        <v>1017</v>
      </c>
      <c r="C15" t="s">
        <v>1103</v>
      </c>
    </row>
    <row r="16" spans="1:3">
      <c r="A16" t="s">
        <v>1035</v>
      </c>
      <c r="B16" t="s">
        <v>1017</v>
      </c>
      <c r="C16" t="s">
        <v>1103</v>
      </c>
    </row>
    <row r="17" spans="1:3">
      <c r="A17" t="s">
        <v>1014</v>
      </c>
      <c r="B17" t="s">
        <v>1017</v>
      </c>
      <c r="C17" t="s">
        <v>1103</v>
      </c>
    </row>
    <row r="18" spans="1:3">
      <c r="A18" t="s">
        <v>1020</v>
      </c>
      <c r="B18" t="s">
        <v>1017</v>
      </c>
      <c r="C18" t="s">
        <v>1103</v>
      </c>
    </row>
    <row r="19" spans="1:3">
      <c r="A19" t="s">
        <v>1023</v>
      </c>
      <c r="B19" t="s">
        <v>1017</v>
      </c>
      <c r="C19" t="s">
        <v>1103</v>
      </c>
    </row>
    <row r="20" spans="1:3">
      <c r="A20" t="s">
        <v>962</v>
      </c>
      <c r="B20" t="s">
        <v>959</v>
      </c>
    </row>
    <row r="21" spans="1:3">
      <c r="A21" t="s">
        <v>756</v>
      </c>
      <c r="B21" t="s">
        <v>959</v>
      </c>
    </row>
    <row r="22" spans="1:3">
      <c r="A22" t="s">
        <v>962</v>
      </c>
      <c r="B22" t="s">
        <v>1010</v>
      </c>
    </row>
    <row r="23" spans="1:3">
      <c r="A23" t="s">
        <v>86</v>
      </c>
      <c r="B23" t="str">
        <f ca="1">Tabela25[[#This Row],[CARGO]]</f>
        <v>LIMGER</v>
      </c>
      <c r="C23" t="str">
        <f ca="1">Tabela25[[#This Row],[CARGO]]</f>
        <v>LIMGER</v>
      </c>
    </row>
    <row r="24" spans="1:3">
      <c r="A24" t="s">
        <v>322</v>
      </c>
      <c r="B24" t="str">
        <f ca="1">Tabela25[[#This Row],[CARGO]]</f>
        <v>MANPOWER</v>
      </c>
      <c r="C24" t="str">
        <f ca="1">Tabela25[[#This Row],[CARGO]]</f>
        <v>MANPOWER</v>
      </c>
    </row>
    <row r="25" spans="1:3">
      <c r="A25" t="s">
        <v>916</v>
      </c>
      <c r="B25" t="s">
        <v>919</v>
      </c>
      <c r="C25" t="s">
        <v>1103</v>
      </c>
    </row>
    <row r="26" spans="1:3">
      <c r="A26" t="s">
        <v>685</v>
      </c>
      <c r="B26" t="s">
        <v>732</v>
      </c>
      <c r="C26" t="s">
        <v>1101</v>
      </c>
    </row>
    <row r="27" spans="1:3">
      <c r="A27" t="s">
        <v>669</v>
      </c>
      <c r="B27" t="s">
        <v>732</v>
      </c>
      <c r="C27" t="s">
        <v>1101</v>
      </c>
    </row>
    <row r="28" spans="1:3">
      <c r="A28" t="s">
        <v>756</v>
      </c>
      <c r="B28" t="s">
        <v>732</v>
      </c>
      <c r="C28" t="s">
        <v>1101</v>
      </c>
    </row>
    <row r="29" spans="1:3">
      <c r="A29" t="s">
        <v>685</v>
      </c>
      <c r="B29" t="s">
        <v>673</v>
      </c>
      <c r="C29" t="s">
        <v>1101</v>
      </c>
    </row>
    <row r="30" spans="1:3">
      <c r="A30" t="s">
        <v>669</v>
      </c>
      <c r="B30" t="s">
        <v>673</v>
      </c>
      <c r="C30" t="s">
        <v>1101</v>
      </c>
    </row>
    <row r="31" spans="1:3">
      <c r="A31" t="s">
        <v>685</v>
      </c>
      <c r="B31" t="s">
        <v>945</v>
      </c>
      <c r="C31" t="s">
        <v>1101</v>
      </c>
    </row>
    <row r="32" spans="1:3">
      <c r="A32" t="s">
        <v>669</v>
      </c>
      <c r="B32" t="s">
        <v>945</v>
      </c>
      <c r="C32" t="s">
        <v>1104</v>
      </c>
    </row>
    <row r="33" spans="1:3">
      <c r="A33" t="s">
        <v>685</v>
      </c>
      <c r="B33" t="s">
        <v>708</v>
      </c>
      <c r="C33" t="s">
        <v>1104</v>
      </c>
    </row>
    <row r="34" spans="1:3">
      <c r="A34" t="s">
        <v>669</v>
      </c>
      <c r="B34" t="s">
        <v>708</v>
      </c>
      <c r="C34" t="s">
        <v>1104</v>
      </c>
    </row>
    <row r="35" spans="1:3">
      <c r="A35" t="s">
        <v>887</v>
      </c>
      <c r="B35" t="s">
        <v>883</v>
      </c>
      <c r="C35" t="s">
        <v>1105</v>
      </c>
    </row>
    <row r="36" spans="1:3">
      <c r="A36" t="s">
        <v>891</v>
      </c>
      <c r="B36" t="s">
        <v>883</v>
      </c>
      <c r="C36" t="s">
        <v>1105</v>
      </c>
    </row>
    <row r="37" spans="1:3">
      <c r="A37" t="s">
        <v>897</v>
      </c>
      <c r="B37" t="s">
        <v>883</v>
      </c>
      <c r="C37" t="s">
        <v>1105</v>
      </c>
    </row>
    <row r="38" spans="1:3">
      <c r="A38" t="s">
        <v>881</v>
      </c>
      <c r="B38" t="s">
        <v>883</v>
      </c>
      <c r="C38" t="s">
        <v>1105</v>
      </c>
    </row>
    <row r="39" spans="1:3">
      <c r="A39" t="s">
        <v>1077</v>
      </c>
      <c r="B39" t="s">
        <v>1080</v>
      </c>
      <c r="C39" t="s">
        <v>1105</v>
      </c>
    </row>
    <row r="40" spans="1:3">
      <c r="A40" t="s">
        <v>968</v>
      </c>
      <c r="B40" t="s">
        <v>970</v>
      </c>
      <c r="C40" t="s">
        <v>967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5D45-2298-429D-9BA9-BDF17325FF4F}">
  <sheetPr codeName="Planilha2"/>
  <dimension ref="A1:N96"/>
  <sheetViews>
    <sheetView showGridLines="0" topLeftCell="F72" zoomScale="70" zoomScaleNormal="70" workbookViewId="0">
      <selection activeCell="L94" sqref="L94"/>
    </sheetView>
  </sheetViews>
  <sheetFormatPr defaultColWidth="9.140625" defaultRowHeight="14.45"/>
  <cols>
    <col min="1" max="1" width="11.85546875" style="19" customWidth="1"/>
    <col min="2" max="2" width="39.42578125" style="6" bestFit="1" customWidth="1"/>
    <col min="3" max="3" width="10" style="19" bestFit="1" customWidth="1"/>
    <col min="4" max="4" width="15.5703125" style="19" bestFit="1" customWidth="1"/>
    <col min="5" max="5" width="23.85546875" style="19" customWidth="1"/>
    <col min="6" max="6" width="27.42578125" style="19" bestFit="1" customWidth="1"/>
    <col min="7" max="7" width="38" style="6" customWidth="1"/>
    <col min="8" max="8" width="19.28515625" style="19" customWidth="1"/>
    <col min="9" max="9" width="26" style="24" bestFit="1" customWidth="1"/>
    <col min="10" max="10" width="39.7109375" style="6" customWidth="1"/>
    <col min="11" max="11" width="15.140625" style="19" customWidth="1"/>
    <col min="12" max="12" width="52.7109375" style="24" bestFit="1" customWidth="1"/>
    <col min="13" max="13" width="47" style="24" bestFit="1" customWidth="1"/>
    <col min="14" max="14" width="26.28515625" style="19" bestFit="1" customWidth="1"/>
    <col min="15" max="16384" width="9.140625" style="8"/>
  </cols>
  <sheetData>
    <row r="1" spans="1:14" s="30" customFormat="1">
      <c r="A1" s="17" t="s">
        <v>19</v>
      </c>
      <c r="B1" s="10" t="s">
        <v>649</v>
      </c>
      <c r="C1" s="17" t="s">
        <v>25</v>
      </c>
      <c r="D1" s="20" t="s">
        <v>1106</v>
      </c>
      <c r="E1" s="20" t="s">
        <v>1107</v>
      </c>
      <c r="F1" s="20" t="s">
        <v>1108</v>
      </c>
      <c r="G1" s="10" t="s">
        <v>1109</v>
      </c>
      <c r="H1" s="17" t="s">
        <v>30</v>
      </c>
      <c r="I1" s="21" t="s">
        <v>31</v>
      </c>
      <c r="J1" s="10" t="s">
        <v>32</v>
      </c>
      <c r="K1" s="17" t="s">
        <v>21</v>
      </c>
      <c r="L1" s="25" t="s">
        <v>33</v>
      </c>
      <c r="M1" s="25" t="s">
        <v>34</v>
      </c>
      <c r="N1" s="17" t="s">
        <v>35</v>
      </c>
    </row>
    <row r="2" spans="1:14">
      <c r="A2" s="14">
        <v>80228814</v>
      </c>
      <c r="B2" s="11" t="s">
        <v>1110</v>
      </c>
      <c r="C2" s="14" t="s">
        <v>42</v>
      </c>
      <c r="D2" s="15" t="s">
        <v>1111</v>
      </c>
      <c r="E2" s="87">
        <v>44196</v>
      </c>
      <c r="F2" s="87" t="s">
        <v>1112</v>
      </c>
      <c r="G2" s="75" t="s">
        <v>1113</v>
      </c>
      <c r="H2" s="18">
        <v>63</v>
      </c>
      <c r="I2" s="22" t="s">
        <v>1114</v>
      </c>
      <c r="J2" s="13" t="s">
        <v>45</v>
      </c>
      <c r="K2" s="16" t="s">
        <v>1115</v>
      </c>
      <c r="L2" s="23"/>
      <c r="M2" s="26" t="s">
        <v>1116</v>
      </c>
      <c r="N2" s="14" t="s">
        <v>1111</v>
      </c>
    </row>
    <row r="3" spans="1:14">
      <c r="A3" s="14">
        <v>40177280</v>
      </c>
      <c r="B3" s="11" t="s">
        <v>1117</v>
      </c>
      <c r="C3" s="14" t="s">
        <v>42</v>
      </c>
      <c r="D3" s="15" t="s">
        <v>1111</v>
      </c>
      <c r="E3" s="87">
        <v>44773</v>
      </c>
      <c r="F3" s="87" t="s">
        <v>1112</v>
      </c>
      <c r="G3" s="11" t="s">
        <v>1118</v>
      </c>
      <c r="H3" s="14">
        <v>300</v>
      </c>
      <c r="I3" s="23" t="s">
        <v>515</v>
      </c>
      <c r="J3" s="11" t="s">
        <v>45</v>
      </c>
      <c r="K3" s="16" t="s">
        <v>13</v>
      </c>
      <c r="L3" s="23" t="s">
        <v>1119</v>
      </c>
      <c r="M3" s="23"/>
      <c r="N3" s="14" t="s">
        <v>1111</v>
      </c>
    </row>
    <row r="4" spans="1:14">
      <c r="A4" s="14">
        <v>40257896</v>
      </c>
      <c r="B4" s="11" t="s">
        <v>1120</v>
      </c>
      <c r="C4" s="14" t="s">
        <v>42</v>
      </c>
      <c r="D4" s="15" t="s">
        <v>1111</v>
      </c>
      <c r="E4" s="87">
        <v>44774</v>
      </c>
      <c r="F4" s="87" t="s">
        <v>1112</v>
      </c>
      <c r="G4" s="11" t="s">
        <v>1121</v>
      </c>
      <c r="H4" s="14" t="s">
        <v>1111</v>
      </c>
      <c r="I4" s="23" t="s">
        <v>501</v>
      </c>
      <c r="J4" s="11" t="s">
        <v>501</v>
      </c>
      <c r="K4" s="16" t="s">
        <v>1122</v>
      </c>
      <c r="L4" s="23"/>
      <c r="M4" s="23" t="s">
        <v>1123</v>
      </c>
      <c r="N4" s="14" t="s">
        <v>1111</v>
      </c>
    </row>
    <row r="5" spans="1:14">
      <c r="A5" s="14">
        <v>80013703</v>
      </c>
      <c r="B5" s="11" t="s">
        <v>1124</v>
      </c>
      <c r="C5" s="14" t="s">
        <v>42</v>
      </c>
      <c r="D5" s="15" t="s">
        <v>1111</v>
      </c>
      <c r="E5" s="87">
        <v>44866</v>
      </c>
      <c r="F5" s="87" t="s">
        <v>1112</v>
      </c>
      <c r="G5" s="75" t="s">
        <v>1125</v>
      </c>
      <c r="H5" s="14">
        <v>266</v>
      </c>
      <c r="I5" s="23" t="s">
        <v>1126</v>
      </c>
      <c r="J5" s="11" t="s">
        <v>45</v>
      </c>
      <c r="K5" s="16" t="s">
        <v>1115</v>
      </c>
      <c r="L5" s="26" t="s">
        <v>1127</v>
      </c>
      <c r="M5" s="23"/>
      <c r="N5" s="14" t="s">
        <v>1111</v>
      </c>
    </row>
    <row r="6" spans="1:14">
      <c r="A6" s="14">
        <v>40286072</v>
      </c>
      <c r="B6" s="11" t="s">
        <v>1128</v>
      </c>
      <c r="C6" s="14" t="s">
        <v>42</v>
      </c>
      <c r="D6" s="15" t="s">
        <v>1111</v>
      </c>
      <c r="E6" s="87">
        <v>44872</v>
      </c>
      <c r="F6" s="87" t="s">
        <v>1112</v>
      </c>
      <c r="G6" s="75" t="s">
        <v>1129</v>
      </c>
      <c r="H6" s="14">
        <v>85</v>
      </c>
      <c r="I6" s="23" t="s">
        <v>420</v>
      </c>
      <c r="J6" s="11" t="s">
        <v>420</v>
      </c>
      <c r="K6" s="16" t="s">
        <v>1115</v>
      </c>
      <c r="L6" s="23"/>
      <c r="M6" s="26" t="s">
        <v>1130</v>
      </c>
      <c r="N6" s="14" t="s">
        <v>1111</v>
      </c>
    </row>
    <row r="7" spans="1:14">
      <c r="A7" s="14">
        <v>40201920</v>
      </c>
      <c r="B7" s="11" t="s">
        <v>1131</v>
      </c>
      <c r="C7" s="14" t="s">
        <v>42</v>
      </c>
      <c r="D7" s="15" t="s">
        <v>1111</v>
      </c>
      <c r="E7" s="87">
        <v>44907</v>
      </c>
      <c r="F7" s="89" t="s">
        <v>1132</v>
      </c>
      <c r="G7" s="11" t="s">
        <v>1133</v>
      </c>
      <c r="H7" s="14" t="s">
        <v>1111</v>
      </c>
      <c r="I7" s="23" t="s">
        <v>1134</v>
      </c>
      <c r="J7" s="11" t="s">
        <v>45</v>
      </c>
      <c r="K7" s="14" t="s">
        <v>13</v>
      </c>
      <c r="L7" s="22"/>
      <c r="M7" s="22" t="s">
        <v>1135</v>
      </c>
      <c r="N7" s="14" t="s">
        <v>1111</v>
      </c>
    </row>
    <row r="8" spans="1:14">
      <c r="A8" s="14">
        <v>40216113</v>
      </c>
      <c r="B8" s="11" t="s">
        <v>1136</v>
      </c>
      <c r="C8" s="14" t="s">
        <v>42</v>
      </c>
      <c r="D8" s="15" t="s">
        <v>1137</v>
      </c>
      <c r="E8" s="87">
        <v>44908</v>
      </c>
      <c r="F8" s="87" t="s">
        <v>1112</v>
      </c>
      <c r="G8" s="75" t="s">
        <v>1138</v>
      </c>
      <c r="H8" s="15" t="s">
        <v>1111</v>
      </c>
      <c r="I8" s="22" t="s">
        <v>1139</v>
      </c>
      <c r="J8" s="12" t="s">
        <v>45</v>
      </c>
      <c r="K8" s="16" t="s">
        <v>1115</v>
      </c>
      <c r="L8" s="22"/>
      <c r="M8" s="26" t="s">
        <v>1140</v>
      </c>
      <c r="N8" s="15" t="s">
        <v>1111</v>
      </c>
    </row>
    <row r="9" spans="1:14">
      <c r="A9" s="14">
        <v>40201094</v>
      </c>
      <c r="B9" s="11" t="s">
        <v>1141</v>
      </c>
      <c r="C9" s="14" t="s">
        <v>42</v>
      </c>
      <c r="D9" s="15" t="s">
        <v>1142</v>
      </c>
      <c r="E9" s="87">
        <v>44908</v>
      </c>
      <c r="F9" s="87" t="s">
        <v>1112</v>
      </c>
      <c r="G9" s="75" t="s">
        <v>1143</v>
      </c>
      <c r="H9" s="14" t="s">
        <v>1111</v>
      </c>
      <c r="I9" s="90" t="s">
        <v>1144</v>
      </c>
      <c r="J9" s="11" t="s">
        <v>45</v>
      </c>
      <c r="K9" s="16" t="s">
        <v>1115</v>
      </c>
      <c r="L9" s="23"/>
      <c r="M9" s="26" t="s">
        <v>1145</v>
      </c>
      <c r="N9" s="14" t="s">
        <v>1111</v>
      </c>
    </row>
    <row r="10" spans="1:14">
      <c r="A10" s="14" t="s">
        <v>1146</v>
      </c>
      <c r="B10" s="11" t="s">
        <v>1147</v>
      </c>
      <c r="C10" s="14" t="s">
        <v>130</v>
      </c>
      <c r="D10" s="15" t="s">
        <v>1111</v>
      </c>
      <c r="E10" s="91">
        <v>44928</v>
      </c>
      <c r="F10" s="91" t="s">
        <v>1112</v>
      </c>
      <c r="G10" s="11" t="s">
        <v>1148</v>
      </c>
      <c r="H10" s="14" t="s">
        <v>1111</v>
      </c>
      <c r="I10" s="23" t="s">
        <v>413</v>
      </c>
      <c r="J10" s="11" t="s">
        <v>45</v>
      </c>
      <c r="K10" s="14" t="s">
        <v>13</v>
      </c>
      <c r="L10" s="22"/>
      <c r="M10" s="22" t="s">
        <v>1149</v>
      </c>
      <c r="N10" s="14" t="s">
        <v>1111</v>
      </c>
    </row>
    <row r="11" spans="1:14">
      <c r="A11" s="14" t="s">
        <v>1146</v>
      </c>
      <c r="B11" s="11" t="s">
        <v>1150</v>
      </c>
      <c r="C11" s="14" t="s">
        <v>1151</v>
      </c>
      <c r="D11" s="15" t="s">
        <v>1111</v>
      </c>
      <c r="E11" s="91">
        <v>44937</v>
      </c>
      <c r="F11" s="91" t="s">
        <v>1112</v>
      </c>
      <c r="G11" s="11" t="s">
        <v>1152</v>
      </c>
      <c r="H11" s="14">
        <v>270</v>
      </c>
      <c r="I11" s="23" t="s">
        <v>1153</v>
      </c>
      <c r="J11" s="11" t="s">
        <v>45</v>
      </c>
      <c r="K11" s="16" t="s">
        <v>1122</v>
      </c>
      <c r="L11" s="23"/>
      <c r="M11" s="23"/>
      <c r="N11" s="14" t="s">
        <v>1154</v>
      </c>
    </row>
    <row r="12" spans="1:14">
      <c r="A12" s="14" t="s">
        <v>1146</v>
      </c>
      <c r="B12" s="11" t="s">
        <v>1155</v>
      </c>
      <c r="C12" s="14" t="s">
        <v>42</v>
      </c>
      <c r="D12" s="15"/>
      <c r="E12" s="91">
        <v>44938</v>
      </c>
      <c r="F12" s="92" t="s">
        <v>1156</v>
      </c>
      <c r="G12" s="11" t="s">
        <v>1157</v>
      </c>
      <c r="H12" s="14"/>
      <c r="I12" s="23" t="s">
        <v>1158</v>
      </c>
      <c r="J12" s="11" t="s">
        <v>1159</v>
      </c>
      <c r="K12" s="16" t="s">
        <v>13</v>
      </c>
      <c r="L12" s="23" t="s">
        <v>1160</v>
      </c>
      <c r="M12" s="23"/>
      <c r="N12" s="14" t="s">
        <v>1111</v>
      </c>
    </row>
    <row r="13" spans="1:14">
      <c r="A13" s="14">
        <v>80107261</v>
      </c>
      <c r="B13" s="11" t="s">
        <v>1076</v>
      </c>
      <c r="C13" s="14" t="s">
        <v>42</v>
      </c>
      <c r="D13" s="15" t="s">
        <v>1161</v>
      </c>
      <c r="E13" s="91">
        <v>44958</v>
      </c>
      <c r="F13" s="91" t="s">
        <v>1162</v>
      </c>
      <c r="G13" s="11" t="s">
        <v>1163</v>
      </c>
      <c r="H13" s="14">
        <v>7</v>
      </c>
      <c r="I13" s="23" t="s">
        <v>351</v>
      </c>
      <c r="J13" s="11" t="s">
        <v>45</v>
      </c>
      <c r="K13" s="14" t="s">
        <v>13</v>
      </c>
      <c r="L13" s="23"/>
      <c r="M13" s="23" t="s">
        <v>1164</v>
      </c>
      <c r="N13" s="14" t="s">
        <v>1111</v>
      </c>
    </row>
    <row r="14" spans="1:14">
      <c r="A14" s="14">
        <v>80159517</v>
      </c>
      <c r="B14" s="11" t="s">
        <v>1165</v>
      </c>
      <c r="C14" s="14" t="s">
        <v>42</v>
      </c>
      <c r="D14" s="15" t="s">
        <v>1166</v>
      </c>
      <c r="E14" s="91">
        <v>44958</v>
      </c>
      <c r="F14" s="91" t="s">
        <v>1162</v>
      </c>
      <c r="G14" s="11" t="s">
        <v>1167</v>
      </c>
      <c r="H14" s="14">
        <v>50</v>
      </c>
      <c r="I14" s="23" t="s">
        <v>37</v>
      </c>
      <c r="J14" s="11" t="s">
        <v>45</v>
      </c>
      <c r="K14" s="16" t="s">
        <v>13</v>
      </c>
      <c r="L14" s="23" t="s">
        <v>1168</v>
      </c>
      <c r="M14" s="23"/>
      <c r="N14" s="14" t="s">
        <v>1111</v>
      </c>
    </row>
    <row r="15" spans="1:14">
      <c r="A15" s="14">
        <v>40262398</v>
      </c>
      <c r="B15" s="11" t="s">
        <v>1169</v>
      </c>
      <c r="C15" s="14" t="s">
        <v>42</v>
      </c>
      <c r="D15" s="15" t="s">
        <v>1170</v>
      </c>
      <c r="E15" s="91">
        <v>44958</v>
      </c>
      <c r="F15" s="91" t="s">
        <v>1162</v>
      </c>
      <c r="G15" s="11" t="s">
        <v>1171</v>
      </c>
      <c r="H15" s="14">
        <v>18</v>
      </c>
      <c r="I15" s="23" t="s">
        <v>1153</v>
      </c>
      <c r="J15" s="11" t="s">
        <v>45</v>
      </c>
      <c r="K15" s="16" t="s">
        <v>13</v>
      </c>
      <c r="L15" s="22"/>
      <c r="M15" s="22"/>
      <c r="N15" s="14" t="s">
        <v>1111</v>
      </c>
    </row>
    <row r="16" spans="1:14">
      <c r="A16" s="14">
        <v>40296432</v>
      </c>
      <c r="B16" s="11" t="s">
        <v>1172</v>
      </c>
      <c r="C16" s="14" t="s">
        <v>42</v>
      </c>
      <c r="D16" s="15" t="s">
        <v>1173</v>
      </c>
      <c r="E16" s="91">
        <v>44958</v>
      </c>
      <c r="F16" s="91" t="s">
        <v>1162</v>
      </c>
      <c r="G16" s="11" t="s">
        <v>1174</v>
      </c>
      <c r="H16" s="14" t="s">
        <v>1111</v>
      </c>
      <c r="I16" s="23" t="s">
        <v>143</v>
      </c>
      <c r="J16" s="11" t="s">
        <v>45</v>
      </c>
      <c r="K16" s="14" t="s">
        <v>13</v>
      </c>
      <c r="L16" s="23"/>
      <c r="M16" s="23" t="s">
        <v>1175</v>
      </c>
      <c r="N16" s="14" t="s">
        <v>1111</v>
      </c>
    </row>
    <row r="17" spans="1:14">
      <c r="A17" s="14">
        <v>40286567</v>
      </c>
      <c r="B17" s="11" t="s">
        <v>1176</v>
      </c>
      <c r="C17" s="14" t="s">
        <v>42</v>
      </c>
      <c r="D17" s="15" t="s">
        <v>1177</v>
      </c>
      <c r="E17" s="91">
        <v>44963</v>
      </c>
      <c r="F17" s="91" t="s">
        <v>1112</v>
      </c>
      <c r="G17" s="75" t="s">
        <v>1178</v>
      </c>
      <c r="H17" s="18">
        <v>82</v>
      </c>
      <c r="I17" s="93" t="s">
        <v>106</v>
      </c>
      <c r="J17" s="13" t="s">
        <v>45</v>
      </c>
      <c r="K17" s="16" t="s">
        <v>1115</v>
      </c>
      <c r="L17" s="23"/>
      <c r="M17" s="26" t="s">
        <v>1179</v>
      </c>
      <c r="N17" s="14" t="s">
        <v>1111</v>
      </c>
    </row>
    <row r="18" spans="1:14">
      <c r="A18" s="14">
        <v>80155954</v>
      </c>
      <c r="B18" s="11" t="s">
        <v>1180</v>
      </c>
      <c r="C18" s="14" t="s">
        <v>42</v>
      </c>
      <c r="D18" s="15" t="s">
        <v>1181</v>
      </c>
      <c r="E18" s="91">
        <v>44963</v>
      </c>
      <c r="F18" s="91" t="s">
        <v>1112</v>
      </c>
      <c r="G18" s="75" t="s">
        <v>1182</v>
      </c>
      <c r="H18" s="14">
        <v>29</v>
      </c>
      <c r="I18" s="23" t="s">
        <v>162</v>
      </c>
      <c r="J18" s="11" t="s">
        <v>45</v>
      </c>
      <c r="K18" s="16" t="s">
        <v>1115</v>
      </c>
      <c r="L18" s="26" t="s">
        <v>1183</v>
      </c>
      <c r="M18" s="28"/>
      <c r="N18" s="14" t="s">
        <v>1111</v>
      </c>
    </row>
    <row r="19" spans="1:14">
      <c r="A19" s="14">
        <v>80321032</v>
      </c>
      <c r="B19" s="11" t="s">
        <v>1184</v>
      </c>
      <c r="C19" s="14" t="s">
        <v>42</v>
      </c>
      <c r="D19" s="15" t="s">
        <v>1185</v>
      </c>
      <c r="E19" s="91">
        <v>44963</v>
      </c>
      <c r="F19" s="91" t="s">
        <v>1112</v>
      </c>
      <c r="G19" s="75" t="s">
        <v>1186</v>
      </c>
      <c r="H19" s="14">
        <v>259</v>
      </c>
      <c r="I19" s="23" t="s">
        <v>413</v>
      </c>
      <c r="J19" s="11" t="s">
        <v>45</v>
      </c>
      <c r="K19" s="16" t="s">
        <v>1115</v>
      </c>
      <c r="L19" s="23"/>
      <c r="M19" s="26" t="s">
        <v>1187</v>
      </c>
      <c r="N19" s="14" t="s">
        <v>1111</v>
      </c>
    </row>
    <row r="20" spans="1:14">
      <c r="A20" s="14" t="s">
        <v>1146</v>
      </c>
      <c r="B20" s="11" t="s">
        <v>1188</v>
      </c>
      <c r="C20" s="14" t="s">
        <v>1151</v>
      </c>
      <c r="D20" s="15" t="s">
        <v>1111</v>
      </c>
      <c r="E20" s="91">
        <v>44967</v>
      </c>
      <c r="F20" s="91" t="s">
        <v>1112</v>
      </c>
      <c r="G20" s="11" t="s">
        <v>1189</v>
      </c>
      <c r="H20" s="14">
        <v>40</v>
      </c>
      <c r="I20" s="23" t="s">
        <v>338</v>
      </c>
      <c r="J20" s="11" t="s">
        <v>45</v>
      </c>
      <c r="K20" s="16" t="s">
        <v>1115</v>
      </c>
      <c r="L20" s="23" t="s">
        <v>1190</v>
      </c>
      <c r="M20" s="23"/>
      <c r="N20" s="14" t="s">
        <v>1191</v>
      </c>
    </row>
    <row r="21" spans="1:14">
      <c r="A21" s="14" t="s">
        <v>1146</v>
      </c>
      <c r="B21" s="11" t="s">
        <v>1192</v>
      </c>
      <c r="C21" s="14" t="s">
        <v>1151</v>
      </c>
      <c r="D21" s="15" t="s">
        <v>1111</v>
      </c>
      <c r="E21" s="91">
        <v>44972</v>
      </c>
      <c r="F21" s="91" t="s">
        <v>1112</v>
      </c>
      <c r="G21" s="11" t="s">
        <v>1193</v>
      </c>
      <c r="H21" s="14">
        <v>1853</v>
      </c>
      <c r="I21" s="23" t="s">
        <v>1194</v>
      </c>
      <c r="J21" s="11" t="s">
        <v>45</v>
      </c>
      <c r="K21" s="14" t="s">
        <v>1195</v>
      </c>
      <c r="L21" s="23"/>
      <c r="M21" s="23" t="s">
        <v>1196</v>
      </c>
      <c r="N21" s="14" t="s">
        <v>1197</v>
      </c>
    </row>
    <row r="22" spans="1:14">
      <c r="A22" s="14" t="s">
        <v>1146</v>
      </c>
      <c r="B22" s="11" t="s">
        <v>1198</v>
      </c>
      <c r="C22" s="14" t="s">
        <v>1151</v>
      </c>
      <c r="D22" s="15" t="s">
        <v>1111</v>
      </c>
      <c r="E22" s="91">
        <v>44972</v>
      </c>
      <c r="F22" s="91" t="s">
        <v>1112</v>
      </c>
      <c r="G22" s="75" t="s">
        <v>1199</v>
      </c>
      <c r="H22" s="15">
        <v>20</v>
      </c>
      <c r="I22" s="22" t="s">
        <v>125</v>
      </c>
      <c r="J22" s="12" t="s">
        <v>45</v>
      </c>
      <c r="K22" s="16" t="s">
        <v>1115</v>
      </c>
      <c r="L22" s="22"/>
      <c r="M22" s="26" t="s">
        <v>1200</v>
      </c>
      <c r="N22" s="29" t="s">
        <v>1201</v>
      </c>
    </row>
    <row r="23" spans="1:14">
      <c r="A23" s="14" t="s">
        <v>1146</v>
      </c>
      <c r="B23" s="11" t="s">
        <v>1202</v>
      </c>
      <c r="C23" s="14" t="s">
        <v>1151</v>
      </c>
      <c r="D23" s="15" t="s">
        <v>1111</v>
      </c>
      <c r="E23" s="91">
        <v>44972</v>
      </c>
      <c r="F23" s="91" t="s">
        <v>1112</v>
      </c>
      <c r="G23" s="11" t="s">
        <v>1203</v>
      </c>
      <c r="H23" s="14">
        <v>23</v>
      </c>
      <c r="I23" s="23" t="s">
        <v>1134</v>
      </c>
      <c r="J23" s="11" t="s">
        <v>45</v>
      </c>
      <c r="K23" s="14" t="s">
        <v>1195</v>
      </c>
      <c r="L23" s="23"/>
      <c r="M23" s="23" t="s">
        <v>1204</v>
      </c>
      <c r="N23" s="14" t="s">
        <v>1111</v>
      </c>
    </row>
    <row r="24" spans="1:14">
      <c r="A24" s="14">
        <v>40185180</v>
      </c>
      <c r="B24" s="11" t="s">
        <v>1205</v>
      </c>
      <c r="C24" s="14" t="s">
        <v>42</v>
      </c>
      <c r="D24" s="15" t="s">
        <v>1206</v>
      </c>
      <c r="E24" s="91">
        <v>44972</v>
      </c>
      <c r="F24" s="92" t="s">
        <v>1112</v>
      </c>
      <c r="G24" s="75" t="s">
        <v>1207</v>
      </c>
      <c r="H24" s="14">
        <v>471</v>
      </c>
      <c r="I24" s="23" t="s">
        <v>37</v>
      </c>
      <c r="J24" s="11" t="s">
        <v>45</v>
      </c>
      <c r="K24" s="16" t="s">
        <v>1208</v>
      </c>
      <c r="L24" s="22"/>
      <c r="M24" s="26" t="s">
        <v>1209</v>
      </c>
      <c r="N24" s="14" t="s">
        <v>1111</v>
      </c>
    </row>
    <row r="25" spans="1:14">
      <c r="A25" s="14" t="s">
        <v>1146</v>
      </c>
      <c r="B25" s="11" t="s">
        <v>1210</v>
      </c>
      <c r="C25" s="14" t="s">
        <v>1211</v>
      </c>
      <c r="D25" s="15" t="s">
        <v>1111</v>
      </c>
      <c r="E25" s="91">
        <v>44981</v>
      </c>
      <c r="F25" s="92" t="s">
        <v>1112</v>
      </c>
      <c r="G25" s="11" t="s">
        <v>1212</v>
      </c>
      <c r="H25" s="14" t="s">
        <v>1111</v>
      </c>
      <c r="I25" s="23" t="s">
        <v>327</v>
      </c>
      <c r="J25" s="11" t="s">
        <v>45</v>
      </c>
      <c r="K25" s="16" t="s">
        <v>13</v>
      </c>
      <c r="L25" s="27" t="s">
        <v>1213</v>
      </c>
      <c r="M25" s="23"/>
      <c r="N25" s="14" t="s">
        <v>1111</v>
      </c>
    </row>
    <row r="26" spans="1:14">
      <c r="A26" s="14" t="s">
        <v>1146</v>
      </c>
      <c r="B26" s="11" t="s">
        <v>1214</v>
      </c>
      <c r="C26" s="14" t="s">
        <v>1211</v>
      </c>
      <c r="D26" s="15" t="s">
        <v>1111</v>
      </c>
      <c r="E26" s="91">
        <v>44981</v>
      </c>
      <c r="F26" s="92" t="s">
        <v>1112</v>
      </c>
      <c r="G26" s="75" t="s">
        <v>1215</v>
      </c>
      <c r="H26" s="14" t="s">
        <v>1111</v>
      </c>
      <c r="I26" s="22" t="s">
        <v>73</v>
      </c>
      <c r="J26" s="12" t="s">
        <v>45</v>
      </c>
      <c r="K26" s="16" t="s">
        <v>1115</v>
      </c>
      <c r="L26" s="26" t="s">
        <v>1216</v>
      </c>
      <c r="M26" s="23"/>
      <c r="N26" s="29" t="s">
        <v>1217</v>
      </c>
    </row>
    <row r="27" spans="1:14">
      <c r="A27" s="14" t="s">
        <v>1146</v>
      </c>
      <c r="B27" s="11" t="s">
        <v>1218</v>
      </c>
      <c r="C27" s="14" t="s">
        <v>1219</v>
      </c>
      <c r="D27" s="15" t="s">
        <v>1111</v>
      </c>
      <c r="E27" s="91">
        <v>44981</v>
      </c>
      <c r="F27" s="92" t="s">
        <v>1112</v>
      </c>
      <c r="G27" s="11" t="s">
        <v>1220</v>
      </c>
      <c r="H27" s="14" t="s">
        <v>1111</v>
      </c>
      <c r="I27" s="23" t="s">
        <v>106</v>
      </c>
      <c r="J27" s="11" t="s">
        <v>45</v>
      </c>
      <c r="K27" s="16" t="s">
        <v>13</v>
      </c>
      <c r="L27" s="22"/>
      <c r="M27" s="23"/>
      <c r="N27" s="14" t="s">
        <v>1111</v>
      </c>
    </row>
    <row r="28" spans="1:14">
      <c r="A28" s="14" t="s">
        <v>1146</v>
      </c>
      <c r="B28" s="11" t="s">
        <v>1221</v>
      </c>
      <c r="C28" s="14" t="s">
        <v>1211</v>
      </c>
      <c r="D28" s="15" t="s">
        <v>1111</v>
      </c>
      <c r="E28" s="91">
        <v>44981</v>
      </c>
      <c r="F28" s="92" t="s">
        <v>1112</v>
      </c>
      <c r="G28" s="11" t="s">
        <v>1222</v>
      </c>
      <c r="H28" s="14" t="s">
        <v>1111</v>
      </c>
      <c r="I28" s="23" t="s">
        <v>1223</v>
      </c>
      <c r="J28" s="11" t="s">
        <v>1223</v>
      </c>
      <c r="K28" s="16" t="s">
        <v>13</v>
      </c>
      <c r="L28" s="23" t="s">
        <v>1224</v>
      </c>
      <c r="M28" s="23"/>
      <c r="N28" s="14" t="s">
        <v>1111</v>
      </c>
    </row>
    <row r="29" spans="1:14">
      <c r="A29" s="14" t="s">
        <v>1146</v>
      </c>
      <c r="B29" s="11" t="s">
        <v>1225</v>
      </c>
      <c r="C29" s="14" t="s">
        <v>1211</v>
      </c>
      <c r="D29" s="15" t="s">
        <v>1111</v>
      </c>
      <c r="E29" s="91">
        <v>44981</v>
      </c>
      <c r="F29" s="92" t="s">
        <v>1112</v>
      </c>
      <c r="G29" s="11" t="s">
        <v>1226</v>
      </c>
      <c r="H29" s="14" t="s">
        <v>1111</v>
      </c>
      <c r="I29" s="23" t="s">
        <v>413</v>
      </c>
      <c r="J29" s="11" t="s">
        <v>45</v>
      </c>
      <c r="K29" s="16" t="s">
        <v>1122</v>
      </c>
      <c r="L29" s="23" t="s">
        <v>1227</v>
      </c>
      <c r="M29" s="23"/>
      <c r="N29" s="14" t="s">
        <v>1111</v>
      </c>
    </row>
    <row r="30" spans="1:14">
      <c r="A30" s="14">
        <v>40296432</v>
      </c>
      <c r="B30" s="11" t="s">
        <v>1172</v>
      </c>
      <c r="C30" s="14" t="s">
        <v>42</v>
      </c>
      <c r="D30" s="15" t="s">
        <v>1173</v>
      </c>
      <c r="E30" s="91">
        <v>44984</v>
      </c>
      <c r="F30" s="92" t="s">
        <v>1228</v>
      </c>
      <c r="G30" s="11" t="s">
        <v>1174</v>
      </c>
      <c r="H30" s="14" t="s">
        <v>1111</v>
      </c>
      <c r="I30" s="23" t="s">
        <v>143</v>
      </c>
      <c r="J30" s="11" t="s">
        <v>45</v>
      </c>
      <c r="K30" s="16" t="s">
        <v>1122</v>
      </c>
      <c r="L30" s="22"/>
      <c r="M30" s="23" t="s">
        <v>1175</v>
      </c>
      <c r="N30" s="14" t="s">
        <v>1111</v>
      </c>
    </row>
    <row r="31" spans="1:14">
      <c r="A31" s="14" t="s">
        <v>1146</v>
      </c>
      <c r="B31" s="11" t="s">
        <v>1229</v>
      </c>
      <c r="C31" s="14" t="s">
        <v>130</v>
      </c>
      <c r="D31" s="15" t="s">
        <v>1111</v>
      </c>
      <c r="E31" s="91">
        <v>44998</v>
      </c>
      <c r="F31" s="92" t="s">
        <v>1112</v>
      </c>
      <c r="G31" s="75" t="s">
        <v>1230</v>
      </c>
      <c r="H31" s="14">
        <v>7</v>
      </c>
      <c r="I31" s="22" t="s">
        <v>37</v>
      </c>
      <c r="J31" s="11" t="s">
        <v>45</v>
      </c>
      <c r="K31" s="16" t="s">
        <v>13</v>
      </c>
      <c r="L31" s="28"/>
      <c r="M31" s="23"/>
      <c r="N31" s="14" t="s">
        <v>1231</v>
      </c>
    </row>
    <row r="32" spans="1:14">
      <c r="A32" s="14" t="s">
        <v>1146</v>
      </c>
      <c r="B32" s="11" t="s">
        <v>1232</v>
      </c>
      <c r="C32" s="14" t="s">
        <v>1151</v>
      </c>
      <c r="D32" s="15" t="s">
        <v>1111</v>
      </c>
      <c r="E32" s="91">
        <v>44998</v>
      </c>
      <c r="F32" s="92" t="s">
        <v>1112</v>
      </c>
      <c r="G32" s="11" t="s">
        <v>1233</v>
      </c>
      <c r="H32" s="14" t="s">
        <v>1111</v>
      </c>
      <c r="I32" s="23" t="s">
        <v>1234</v>
      </c>
      <c r="J32" s="11" t="s">
        <v>45</v>
      </c>
      <c r="K32" s="14" t="s">
        <v>1195</v>
      </c>
      <c r="L32" s="22"/>
      <c r="M32" s="23"/>
      <c r="N32" s="14" t="s">
        <v>1235</v>
      </c>
    </row>
    <row r="33" spans="1:14">
      <c r="A33" s="14" t="s">
        <v>1146</v>
      </c>
      <c r="B33" s="11" t="s">
        <v>1236</v>
      </c>
      <c r="C33" s="14" t="s">
        <v>1151</v>
      </c>
      <c r="D33" s="15" t="s">
        <v>1111</v>
      </c>
      <c r="E33" s="91">
        <v>44998</v>
      </c>
      <c r="F33" s="92" t="s">
        <v>1112</v>
      </c>
      <c r="G33" s="11" t="s">
        <v>1237</v>
      </c>
      <c r="H33" s="14">
        <v>635</v>
      </c>
      <c r="I33" s="23" t="s">
        <v>413</v>
      </c>
      <c r="J33" s="11" t="s">
        <v>45</v>
      </c>
      <c r="K33" s="16" t="s">
        <v>1122</v>
      </c>
      <c r="L33" s="23" t="s">
        <v>1238</v>
      </c>
      <c r="M33" s="23"/>
      <c r="N33" s="14" t="s">
        <v>1239</v>
      </c>
    </row>
    <row r="34" spans="1:14">
      <c r="A34" s="14" t="s">
        <v>1146</v>
      </c>
      <c r="B34" s="94" t="s">
        <v>1240</v>
      </c>
      <c r="C34" s="14" t="s">
        <v>1151</v>
      </c>
      <c r="D34" s="15" t="s">
        <v>1111</v>
      </c>
      <c r="E34" s="91">
        <v>44998</v>
      </c>
      <c r="F34" s="92" t="s">
        <v>1112</v>
      </c>
      <c r="G34" s="13" t="s">
        <v>1241</v>
      </c>
      <c r="H34" s="14">
        <v>755</v>
      </c>
      <c r="I34" s="95" t="s">
        <v>1242</v>
      </c>
      <c r="J34" s="78" t="s">
        <v>45</v>
      </c>
      <c r="K34" s="16" t="s">
        <v>1122</v>
      </c>
      <c r="L34" s="23" t="s">
        <v>1243</v>
      </c>
      <c r="M34" s="23"/>
      <c r="N34" s="14" t="s">
        <v>1244</v>
      </c>
    </row>
    <row r="35" spans="1:14">
      <c r="A35" s="14" t="s">
        <v>1245</v>
      </c>
      <c r="B35" s="11" t="s">
        <v>1246</v>
      </c>
      <c r="C35" s="14" t="s">
        <v>322</v>
      </c>
      <c r="D35" s="96">
        <v>44756</v>
      </c>
      <c r="E35" s="87">
        <v>45019</v>
      </c>
      <c r="F35" s="92" t="s">
        <v>1112</v>
      </c>
      <c r="G35" s="11" t="s">
        <v>1247</v>
      </c>
      <c r="H35" s="14">
        <v>334</v>
      </c>
      <c r="I35" s="23" t="s">
        <v>100</v>
      </c>
      <c r="J35" s="11" t="s">
        <v>45</v>
      </c>
      <c r="K35" s="14" t="s">
        <v>13</v>
      </c>
      <c r="L35" s="74"/>
      <c r="M35" s="74" t="s">
        <v>1248</v>
      </c>
      <c r="N35" s="14" t="s">
        <v>1111</v>
      </c>
    </row>
    <row r="36" spans="1:14">
      <c r="A36" s="14">
        <v>80152714</v>
      </c>
      <c r="B36" s="11" t="s">
        <v>1249</v>
      </c>
      <c r="C36" s="14" t="s">
        <v>42</v>
      </c>
      <c r="D36" s="15" t="s">
        <v>1250</v>
      </c>
      <c r="E36" s="87">
        <v>45021</v>
      </c>
      <c r="F36" s="92" t="s">
        <v>1112</v>
      </c>
      <c r="G36" s="11" t="s">
        <v>1251</v>
      </c>
      <c r="H36" s="14">
        <v>46</v>
      </c>
      <c r="I36" s="23" t="s">
        <v>413</v>
      </c>
      <c r="J36" s="11" t="s">
        <v>45</v>
      </c>
      <c r="K36" s="16" t="s">
        <v>1122</v>
      </c>
      <c r="L36" s="23" t="s">
        <v>1252</v>
      </c>
      <c r="M36" s="23"/>
      <c r="N36" s="14" t="s">
        <v>1111</v>
      </c>
    </row>
    <row r="37" spans="1:14">
      <c r="A37" s="14">
        <v>80101499</v>
      </c>
      <c r="B37" s="11" t="s">
        <v>1253</v>
      </c>
      <c r="C37" s="14" t="s">
        <v>42</v>
      </c>
      <c r="D37" s="96" t="s">
        <v>1254</v>
      </c>
      <c r="E37" s="87">
        <v>45028</v>
      </c>
      <c r="F37" s="92" t="s">
        <v>1112</v>
      </c>
      <c r="G37" s="11" t="s">
        <v>1255</v>
      </c>
      <c r="H37" s="14">
        <v>18</v>
      </c>
      <c r="I37" s="23" t="s">
        <v>106</v>
      </c>
      <c r="J37" s="11" t="s">
        <v>45</v>
      </c>
      <c r="K37" s="14" t="s">
        <v>1122</v>
      </c>
      <c r="L37" s="74"/>
      <c r="M37" s="74"/>
      <c r="N37" s="14"/>
    </row>
    <row r="38" spans="1:14">
      <c r="A38" s="14">
        <v>40287198</v>
      </c>
      <c r="B38" s="11" t="s">
        <v>1256</v>
      </c>
      <c r="C38" s="14" t="s">
        <v>42</v>
      </c>
      <c r="D38" s="15" t="s">
        <v>1257</v>
      </c>
      <c r="E38" s="87">
        <v>45028</v>
      </c>
      <c r="F38" s="92" t="s">
        <v>1112</v>
      </c>
      <c r="G38" s="11" t="s">
        <v>1258</v>
      </c>
      <c r="H38" s="14">
        <v>97</v>
      </c>
      <c r="I38" s="23" t="s">
        <v>631</v>
      </c>
      <c r="J38" s="11" t="s">
        <v>45</v>
      </c>
      <c r="K38" s="16" t="s">
        <v>1115</v>
      </c>
      <c r="L38" s="23"/>
      <c r="M38" s="23"/>
      <c r="N38" s="14"/>
    </row>
    <row r="39" spans="1:14">
      <c r="A39" s="14">
        <v>80069244</v>
      </c>
      <c r="B39" s="11" t="s">
        <v>1259</v>
      </c>
      <c r="C39" s="14" t="s">
        <v>42</v>
      </c>
      <c r="D39" s="15" t="s">
        <v>1260</v>
      </c>
      <c r="E39" s="87">
        <v>45029</v>
      </c>
      <c r="F39" s="92" t="s">
        <v>1112</v>
      </c>
      <c r="G39" s="11" t="s">
        <v>1261</v>
      </c>
      <c r="H39" s="14" t="s">
        <v>1111</v>
      </c>
      <c r="I39" s="23" t="s">
        <v>515</v>
      </c>
      <c r="J39" s="11" t="s">
        <v>45</v>
      </c>
      <c r="K39" s="16" t="s">
        <v>1122</v>
      </c>
      <c r="L39" s="74"/>
      <c r="M39" s="74" t="s">
        <v>1262</v>
      </c>
      <c r="N39" s="73"/>
    </row>
    <row r="40" spans="1:14">
      <c r="A40" s="14">
        <v>40185185</v>
      </c>
      <c r="B40" s="11" t="s">
        <v>1263</v>
      </c>
      <c r="C40" s="14" t="s">
        <v>42</v>
      </c>
      <c r="D40" s="15" t="s">
        <v>1206</v>
      </c>
      <c r="E40" s="87">
        <v>45033</v>
      </c>
      <c r="F40" s="92" t="s">
        <v>1112</v>
      </c>
      <c r="G40" s="11" t="s">
        <v>1264</v>
      </c>
      <c r="H40" s="14" t="s">
        <v>1111</v>
      </c>
      <c r="I40" s="23" t="s">
        <v>338</v>
      </c>
      <c r="J40" s="11" t="s">
        <v>45</v>
      </c>
      <c r="K40" s="14" t="s">
        <v>13</v>
      </c>
      <c r="L40" s="23"/>
      <c r="M40" s="23" t="s">
        <v>1265</v>
      </c>
      <c r="N40" s="14" t="s">
        <v>1111</v>
      </c>
    </row>
    <row r="41" spans="1:14">
      <c r="A41" s="14"/>
      <c r="B41" s="11" t="s">
        <v>1266</v>
      </c>
      <c r="C41" s="14" t="s">
        <v>1151</v>
      </c>
      <c r="D41" s="15"/>
      <c r="E41" s="87">
        <v>45050</v>
      </c>
      <c r="F41" s="92" t="s">
        <v>1112</v>
      </c>
      <c r="G41" s="11" t="s">
        <v>1267</v>
      </c>
      <c r="H41" s="14">
        <v>25</v>
      </c>
      <c r="I41" s="23" t="s">
        <v>515</v>
      </c>
      <c r="J41" s="11" t="s">
        <v>45</v>
      </c>
      <c r="K41" s="16" t="s">
        <v>1115</v>
      </c>
      <c r="L41" s="23" t="s">
        <v>1268</v>
      </c>
      <c r="M41" s="23"/>
      <c r="N41" s="14" t="s">
        <v>1111</v>
      </c>
    </row>
    <row r="42" spans="1:14">
      <c r="A42" s="14"/>
      <c r="B42" s="11" t="s">
        <v>1269</v>
      </c>
      <c r="C42" s="14" t="s">
        <v>1151</v>
      </c>
      <c r="D42" s="14"/>
      <c r="E42" s="87">
        <v>45050</v>
      </c>
      <c r="F42" s="92" t="s">
        <v>1112</v>
      </c>
      <c r="G42" s="11" t="s">
        <v>1270</v>
      </c>
      <c r="H42" s="14">
        <v>751</v>
      </c>
      <c r="I42" s="23" t="s">
        <v>1271</v>
      </c>
      <c r="J42" s="11" t="s">
        <v>45</v>
      </c>
      <c r="K42" s="16" t="s">
        <v>1122</v>
      </c>
      <c r="L42" s="23"/>
      <c r="M42" s="23"/>
      <c r="N42" s="14" t="s">
        <v>1111</v>
      </c>
    </row>
    <row r="43" spans="1:14">
      <c r="A43" s="14">
        <v>40185018</v>
      </c>
      <c r="B43" s="11" t="s">
        <v>1272</v>
      </c>
      <c r="C43" s="14" t="s">
        <v>42</v>
      </c>
      <c r="D43" s="15" t="s">
        <v>1206</v>
      </c>
      <c r="E43" s="87">
        <v>45054</v>
      </c>
      <c r="F43" s="92" t="s">
        <v>1112</v>
      </c>
      <c r="G43" s="11" t="s">
        <v>1273</v>
      </c>
      <c r="H43" s="14" t="s">
        <v>1111</v>
      </c>
      <c r="I43" s="23" t="s">
        <v>515</v>
      </c>
      <c r="J43" s="11" t="s">
        <v>45</v>
      </c>
      <c r="K43" s="16" t="s">
        <v>1208</v>
      </c>
      <c r="L43" s="23"/>
      <c r="M43" s="23" t="s">
        <v>1274</v>
      </c>
      <c r="N43" s="14" t="s">
        <v>1111</v>
      </c>
    </row>
    <row r="44" spans="1:14">
      <c r="A44" s="14">
        <v>40185041</v>
      </c>
      <c r="B44" s="11" t="s">
        <v>1275</v>
      </c>
      <c r="C44" s="14" t="s">
        <v>42</v>
      </c>
      <c r="D44" s="15" t="s">
        <v>1206</v>
      </c>
      <c r="E44" s="87">
        <v>45054</v>
      </c>
      <c r="F44" s="92" t="s">
        <v>1112</v>
      </c>
      <c r="G44" s="11" t="s">
        <v>1276</v>
      </c>
      <c r="H44" s="14" t="s">
        <v>1111</v>
      </c>
      <c r="I44" s="23" t="s">
        <v>1277</v>
      </c>
      <c r="J44" s="11" t="s">
        <v>45</v>
      </c>
      <c r="K44" s="16" t="s">
        <v>1122</v>
      </c>
      <c r="L44" s="23"/>
      <c r="M44" s="23"/>
      <c r="N44" s="14" t="s">
        <v>1111</v>
      </c>
    </row>
    <row r="45" spans="1:14">
      <c r="A45" s="14">
        <v>40216118</v>
      </c>
      <c r="B45" s="11" t="s">
        <v>1278</v>
      </c>
      <c r="C45" s="14" t="s">
        <v>42</v>
      </c>
      <c r="D45" s="15" t="s">
        <v>1137</v>
      </c>
      <c r="E45" s="31">
        <v>45085</v>
      </c>
      <c r="F45" s="32" t="s">
        <v>1112</v>
      </c>
      <c r="G45" s="75" t="s">
        <v>1279</v>
      </c>
      <c r="H45" s="14" t="s">
        <v>1111</v>
      </c>
      <c r="I45" s="23" t="s">
        <v>89</v>
      </c>
      <c r="J45" s="11" t="s">
        <v>45</v>
      </c>
      <c r="K45" s="16" t="s">
        <v>1122</v>
      </c>
      <c r="L45" s="23"/>
      <c r="M45" s="26" t="s">
        <v>1280</v>
      </c>
      <c r="N45" s="14" t="s">
        <v>1111</v>
      </c>
    </row>
    <row r="46" spans="1:14">
      <c r="A46" s="14">
        <v>40175816</v>
      </c>
      <c r="B46" s="94" t="s">
        <v>1281</v>
      </c>
      <c r="C46" s="14" t="s">
        <v>42</v>
      </c>
      <c r="D46" s="15" t="s">
        <v>1282</v>
      </c>
      <c r="E46" s="31">
        <v>45085</v>
      </c>
      <c r="F46" s="32" t="s">
        <v>1112</v>
      </c>
      <c r="G46" s="13" t="s">
        <v>1283</v>
      </c>
      <c r="H46" s="14">
        <v>100</v>
      </c>
      <c r="I46" s="95" t="s">
        <v>515</v>
      </c>
      <c r="J46" s="78" t="s">
        <v>45</v>
      </c>
      <c r="K46" s="16" t="s">
        <v>1122</v>
      </c>
      <c r="L46" s="23"/>
      <c r="M46" s="23" t="s">
        <v>1284</v>
      </c>
      <c r="N46" s="14" t="s">
        <v>1285</v>
      </c>
    </row>
    <row r="47" spans="1:14">
      <c r="A47" s="14"/>
      <c r="B47" s="11" t="s">
        <v>1286</v>
      </c>
      <c r="C47" s="14" t="s">
        <v>42</v>
      </c>
      <c r="D47" s="15"/>
      <c r="E47" s="91">
        <v>45091</v>
      </c>
      <c r="F47" s="92" t="s">
        <v>1112</v>
      </c>
      <c r="G47" s="11" t="s">
        <v>1287</v>
      </c>
      <c r="H47" s="14"/>
      <c r="I47" s="23" t="s">
        <v>515</v>
      </c>
      <c r="J47" s="11" t="s">
        <v>45</v>
      </c>
      <c r="K47" s="16" t="s">
        <v>1115</v>
      </c>
      <c r="L47" s="23" t="s">
        <v>1288</v>
      </c>
      <c r="M47" s="23" t="s">
        <v>1289</v>
      </c>
      <c r="N47" s="14" t="s">
        <v>1290</v>
      </c>
    </row>
    <row r="48" spans="1:14">
      <c r="A48" s="14" t="s">
        <v>1146</v>
      </c>
      <c r="B48" s="11" t="s">
        <v>1291</v>
      </c>
      <c r="C48" s="14" t="s">
        <v>130</v>
      </c>
      <c r="D48" s="15" t="s">
        <v>1111</v>
      </c>
      <c r="E48" s="31">
        <v>45098</v>
      </c>
      <c r="F48" s="32" t="s">
        <v>1112</v>
      </c>
      <c r="G48" s="75" t="s">
        <v>1292</v>
      </c>
      <c r="H48" s="14">
        <v>242</v>
      </c>
      <c r="I48" s="12" t="s">
        <v>471</v>
      </c>
      <c r="J48" s="11" t="s">
        <v>45</v>
      </c>
      <c r="K48" s="16" t="s">
        <v>1115</v>
      </c>
      <c r="L48" s="26" t="s">
        <v>1293</v>
      </c>
      <c r="M48" s="28"/>
      <c r="N48" s="14" t="s">
        <v>1111</v>
      </c>
    </row>
    <row r="49" spans="1:14" customFormat="1">
      <c r="A49" s="14">
        <v>80902033</v>
      </c>
      <c r="B49" s="11" t="s">
        <v>1294</v>
      </c>
      <c r="C49" s="14" t="s">
        <v>42</v>
      </c>
      <c r="D49" s="15" t="s">
        <v>1111</v>
      </c>
      <c r="E49" s="97">
        <v>45117</v>
      </c>
      <c r="F49" s="98" t="s">
        <v>1295</v>
      </c>
      <c r="G49" s="11" t="s">
        <v>1296</v>
      </c>
      <c r="H49" s="14">
        <v>520</v>
      </c>
      <c r="I49" s="11" t="s">
        <v>37</v>
      </c>
      <c r="J49" s="11" t="s">
        <v>45</v>
      </c>
      <c r="K49" s="16" t="s">
        <v>13</v>
      </c>
      <c r="L49" s="11"/>
      <c r="M49" s="11" t="s">
        <v>1297</v>
      </c>
      <c r="N49" s="14" t="s">
        <v>1111</v>
      </c>
    </row>
    <row r="50" spans="1:14" customFormat="1">
      <c r="A50" s="14">
        <v>40277780</v>
      </c>
      <c r="B50" s="11" t="s">
        <v>1298</v>
      </c>
      <c r="C50" s="14" t="s">
        <v>42</v>
      </c>
      <c r="D50" s="15" t="s">
        <v>1299</v>
      </c>
      <c r="E50" s="97">
        <v>45121</v>
      </c>
      <c r="F50" s="98" t="s">
        <v>1112</v>
      </c>
      <c r="G50" s="75" t="s">
        <v>1300</v>
      </c>
      <c r="H50" s="14" t="s">
        <v>266</v>
      </c>
      <c r="I50" s="80" t="s">
        <v>1115</v>
      </c>
      <c r="J50" s="11" t="s">
        <v>45</v>
      </c>
      <c r="K50" s="16" t="s">
        <v>1122</v>
      </c>
      <c r="L50" s="75" t="s">
        <v>1301</v>
      </c>
      <c r="M50" s="11"/>
      <c r="N50" s="72"/>
    </row>
    <row r="51" spans="1:14" customFormat="1">
      <c r="A51" s="14">
        <v>40277816</v>
      </c>
      <c r="B51" s="11" t="s">
        <v>1302</v>
      </c>
      <c r="C51" s="14" t="s">
        <v>42</v>
      </c>
      <c r="D51" s="15" t="s">
        <v>1299</v>
      </c>
      <c r="E51" s="97">
        <v>45140</v>
      </c>
      <c r="F51" s="98" t="s">
        <v>1112</v>
      </c>
      <c r="G51" s="11" t="s">
        <v>1303</v>
      </c>
      <c r="H51" s="14">
        <v>1246</v>
      </c>
      <c r="I51" s="11" t="s">
        <v>413</v>
      </c>
      <c r="J51" s="11" t="s">
        <v>45</v>
      </c>
      <c r="K51" s="73" t="s">
        <v>1304</v>
      </c>
      <c r="L51" s="11"/>
      <c r="M51" s="11" t="s">
        <v>1305</v>
      </c>
      <c r="N51" s="14" t="s">
        <v>1111</v>
      </c>
    </row>
    <row r="52" spans="1:14" customFormat="1">
      <c r="A52" s="14">
        <v>40102418</v>
      </c>
      <c r="B52" s="11" t="s">
        <v>1306</v>
      </c>
      <c r="C52" s="14" t="s">
        <v>42</v>
      </c>
      <c r="D52" s="15" t="s">
        <v>1307</v>
      </c>
      <c r="E52" s="87">
        <v>45153</v>
      </c>
      <c r="F52" s="91" t="s">
        <v>1162</v>
      </c>
      <c r="G52" s="11" t="s">
        <v>1308</v>
      </c>
      <c r="H52" s="14" t="s">
        <v>1111</v>
      </c>
      <c r="I52" s="11" t="s">
        <v>37</v>
      </c>
      <c r="J52" s="11" t="s">
        <v>45</v>
      </c>
      <c r="K52" s="16" t="s">
        <v>13</v>
      </c>
      <c r="L52" s="23"/>
      <c r="M52" s="23" t="s">
        <v>1309</v>
      </c>
      <c r="N52" s="14" t="s">
        <v>1111</v>
      </c>
    </row>
    <row r="53" spans="1:14" s="1" customFormat="1" ht="12.95">
      <c r="A53" s="14" t="s">
        <v>1146</v>
      </c>
      <c r="B53" s="11" t="s">
        <v>1310</v>
      </c>
      <c r="C53" s="14" t="s">
        <v>1151</v>
      </c>
      <c r="D53" s="15" t="s">
        <v>1111</v>
      </c>
      <c r="E53" s="87" t="s">
        <v>1111</v>
      </c>
      <c r="F53" s="87" t="s">
        <v>1112</v>
      </c>
      <c r="G53" s="11" t="s">
        <v>1311</v>
      </c>
      <c r="H53" s="14">
        <v>199</v>
      </c>
      <c r="I53" s="11" t="s">
        <v>100</v>
      </c>
      <c r="J53" s="11" t="s">
        <v>45</v>
      </c>
      <c r="K53" s="16" t="s">
        <v>1122</v>
      </c>
      <c r="L53" s="23" t="s">
        <v>1312</v>
      </c>
      <c r="M53" s="23"/>
      <c r="N53" s="14" t="s">
        <v>1111</v>
      </c>
    </row>
    <row r="54" spans="1:14" customFormat="1">
      <c r="A54" s="14" t="s">
        <v>1146</v>
      </c>
      <c r="B54" s="11" t="s">
        <v>1313</v>
      </c>
      <c r="C54" s="14" t="s">
        <v>130</v>
      </c>
      <c r="D54" s="15" t="s">
        <v>1111</v>
      </c>
      <c r="E54" s="91" t="s">
        <v>1111</v>
      </c>
      <c r="F54" s="91" t="s">
        <v>1112</v>
      </c>
      <c r="G54" s="11" t="s">
        <v>1314</v>
      </c>
      <c r="H54" s="14">
        <v>65</v>
      </c>
      <c r="I54" s="11" t="s">
        <v>52</v>
      </c>
      <c r="J54" s="11" t="s">
        <v>45</v>
      </c>
      <c r="K54" s="16" t="s">
        <v>1122</v>
      </c>
      <c r="L54" s="23" t="s">
        <v>1315</v>
      </c>
      <c r="M54" s="23"/>
      <c r="N54" s="14" t="s">
        <v>1111</v>
      </c>
    </row>
    <row r="55" spans="1:14" customFormat="1">
      <c r="A55" s="14" t="s">
        <v>1146</v>
      </c>
      <c r="B55" s="11" t="s">
        <v>1316</v>
      </c>
      <c r="C55" s="14" t="s">
        <v>1151</v>
      </c>
      <c r="D55" s="15" t="s">
        <v>1111</v>
      </c>
      <c r="E55" s="91" t="s">
        <v>1111</v>
      </c>
      <c r="F55" s="91" t="s">
        <v>1112</v>
      </c>
      <c r="G55" s="11" t="s">
        <v>1317</v>
      </c>
      <c r="H55" s="14">
        <v>11</v>
      </c>
      <c r="I55" s="11" t="s">
        <v>172</v>
      </c>
      <c r="J55" s="11" t="s">
        <v>45</v>
      </c>
      <c r="K55" s="16" t="s">
        <v>1122</v>
      </c>
      <c r="L55" s="23"/>
      <c r="M55" s="23"/>
      <c r="N55" s="14" t="s">
        <v>1111</v>
      </c>
    </row>
    <row r="56" spans="1:14" customFormat="1">
      <c r="A56" s="14">
        <v>80185932</v>
      </c>
      <c r="B56" s="11" t="s">
        <v>1318</v>
      </c>
      <c r="C56" s="14" t="s">
        <v>42</v>
      </c>
      <c r="D56" s="15" t="s">
        <v>1319</v>
      </c>
      <c r="E56" s="91" t="s">
        <v>1111</v>
      </c>
      <c r="F56" s="91" t="s">
        <v>1112</v>
      </c>
      <c r="G56" s="11" t="s">
        <v>1320</v>
      </c>
      <c r="H56" s="14">
        <v>229</v>
      </c>
      <c r="I56" s="11" t="s">
        <v>568</v>
      </c>
      <c r="J56" s="11" t="s">
        <v>45</v>
      </c>
      <c r="K56" s="16" t="s">
        <v>1122</v>
      </c>
      <c r="L56" s="23"/>
      <c r="M56" s="22" t="s">
        <v>1321</v>
      </c>
      <c r="N56" s="14" t="s">
        <v>1111</v>
      </c>
    </row>
    <row r="57" spans="1:14" customFormat="1">
      <c r="A57" s="14">
        <v>80152714</v>
      </c>
      <c r="B57" s="11" t="s">
        <v>1249</v>
      </c>
      <c r="C57" s="14" t="s">
        <v>42</v>
      </c>
      <c r="D57" s="15" t="s">
        <v>1250</v>
      </c>
      <c r="E57" s="98" t="s">
        <v>1111</v>
      </c>
      <c r="F57" s="98" t="s">
        <v>1112</v>
      </c>
      <c r="G57" s="11" t="s">
        <v>1251</v>
      </c>
      <c r="H57" s="14">
        <v>46</v>
      </c>
      <c r="I57" s="11" t="s">
        <v>413</v>
      </c>
      <c r="J57" s="11" t="s">
        <v>45</v>
      </c>
      <c r="K57" s="16" t="s">
        <v>1122</v>
      </c>
      <c r="L57" s="11" t="s">
        <v>1252</v>
      </c>
      <c r="M57" s="11"/>
      <c r="N57" s="14" t="s">
        <v>1111</v>
      </c>
    </row>
    <row r="58" spans="1:14">
      <c r="A58" s="14">
        <v>40182964</v>
      </c>
      <c r="B58" s="11" t="s">
        <v>1322</v>
      </c>
      <c r="C58" s="14" t="s">
        <v>42</v>
      </c>
      <c r="D58" s="15" t="s">
        <v>1323</v>
      </c>
      <c r="E58" s="31">
        <v>45183</v>
      </c>
      <c r="F58" s="32" t="s">
        <v>1112</v>
      </c>
      <c r="G58" s="11" t="s">
        <v>1324</v>
      </c>
      <c r="H58" s="14">
        <v>110</v>
      </c>
      <c r="I58" s="11" t="s">
        <v>327</v>
      </c>
      <c r="J58" s="11" t="s">
        <v>45</v>
      </c>
      <c r="K58" s="16" t="s">
        <v>1122</v>
      </c>
      <c r="L58" s="11"/>
      <c r="M58" s="11" t="s">
        <v>1325</v>
      </c>
      <c r="N58" s="14" t="s">
        <v>1111</v>
      </c>
    </row>
    <row r="59" spans="1:14">
      <c r="A59" s="14">
        <v>40216309</v>
      </c>
      <c r="B59" s="11" t="s">
        <v>1326</v>
      </c>
      <c r="C59" s="14" t="s">
        <v>42</v>
      </c>
      <c r="D59" s="15" t="s">
        <v>1327</v>
      </c>
      <c r="E59" s="31">
        <v>45183</v>
      </c>
      <c r="F59" s="32" t="s">
        <v>1112</v>
      </c>
      <c r="G59" s="11" t="s">
        <v>1328</v>
      </c>
      <c r="H59" s="14" t="s">
        <v>1111</v>
      </c>
      <c r="I59" s="11" t="s">
        <v>327</v>
      </c>
      <c r="J59" s="11" t="s">
        <v>45</v>
      </c>
      <c r="K59" s="16" t="s">
        <v>1122</v>
      </c>
      <c r="L59" s="11" t="s">
        <v>1329</v>
      </c>
      <c r="M59" s="11"/>
      <c r="N59" s="14" t="s">
        <v>1111</v>
      </c>
    </row>
    <row r="60" spans="1:14">
      <c r="A60" s="14">
        <v>80014738</v>
      </c>
      <c r="B60" s="11" t="s">
        <v>1330</v>
      </c>
      <c r="C60" s="14" t="s">
        <v>42</v>
      </c>
      <c r="D60" s="15" t="s">
        <v>1331</v>
      </c>
      <c r="E60" s="31">
        <v>45183</v>
      </c>
      <c r="F60" s="32" t="s">
        <v>1112</v>
      </c>
      <c r="G60" s="11" t="s">
        <v>1332</v>
      </c>
      <c r="H60" s="14">
        <v>514</v>
      </c>
      <c r="I60" s="11" t="s">
        <v>1333</v>
      </c>
      <c r="J60" s="11" t="s">
        <v>45</v>
      </c>
      <c r="K60" s="16" t="s">
        <v>1122</v>
      </c>
      <c r="L60" s="11"/>
      <c r="M60" s="75" t="s">
        <v>1334</v>
      </c>
      <c r="N60" s="14" t="s">
        <v>1111</v>
      </c>
    </row>
    <row r="61" spans="1:14">
      <c r="A61" s="14">
        <v>80015639</v>
      </c>
      <c r="B61" s="11" t="s">
        <v>1335</v>
      </c>
      <c r="C61" s="14" t="s">
        <v>42</v>
      </c>
      <c r="D61" s="15" t="s">
        <v>1336</v>
      </c>
      <c r="E61" s="31">
        <v>44818</v>
      </c>
      <c r="F61" s="32" t="s">
        <v>1112</v>
      </c>
      <c r="G61" s="11" t="s">
        <v>1337</v>
      </c>
      <c r="H61" s="14" t="s">
        <v>1111</v>
      </c>
      <c r="I61" s="11" t="s">
        <v>1338</v>
      </c>
      <c r="J61" s="11" t="s">
        <v>45</v>
      </c>
      <c r="K61" s="16" t="s">
        <v>13</v>
      </c>
      <c r="L61" s="12"/>
      <c r="M61" s="12" t="s">
        <v>1339</v>
      </c>
      <c r="N61" s="14" t="s">
        <v>1111</v>
      </c>
    </row>
    <row r="62" spans="1:14">
      <c r="A62" s="14" t="s">
        <v>1146</v>
      </c>
      <c r="B62" s="11" t="s">
        <v>1340</v>
      </c>
      <c r="C62" s="14" t="s">
        <v>42</v>
      </c>
      <c r="D62" s="15" t="s">
        <v>1111</v>
      </c>
      <c r="E62" s="31">
        <v>45183</v>
      </c>
      <c r="F62" s="32" t="s">
        <v>1112</v>
      </c>
      <c r="G62" s="75" t="s">
        <v>1341</v>
      </c>
      <c r="H62" s="15">
        <v>52</v>
      </c>
      <c r="I62" s="12" t="s">
        <v>338</v>
      </c>
      <c r="J62" s="12" t="s">
        <v>45</v>
      </c>
      <c r="K62" s="16" t="s">
        <v>1115</v>
      </c>
      <c r="L62" s="12"/>
      <c r="M62" s="75" t="s">
        <v>1342</v>
      </c>
      <c r="N62" s="29" t="s">
        <v>1343</v>
      </c>
    </row>
    <row r="63" spans="1:14">
      <c r="A63" s="14">
        <v>80144095</v>
      </c>
      <c r="B63" s="11" t="s">
        <v>1344</v>
      </c>
      <c r="C63" s="14" t="s">
        <v>42</v>
      </c>
      <c r="D63" s="15" t="s">
        <v>1345</v>
      </c>
      <c r="E63" s="31">
        <v>45183</v>
      </c>
      <c r="F63" s="32" t="s">
        <v>1112</v>
      </c>
      <c r="G63" s="75" t="s">
        <v>1346</v>
      </c>
      <c r="H63" s="14">
        <v>115</v>
      </c>
      <c r="I63" s="11" t="s">
        <v>1347</v>
      </c>
      <c r="J63" s="11" t="s">
        <v>45</v>
      </c>
      <c r="K63" s="16" t="s">
        <v>1115</v>
      </c>
      <c r="L63" s="11"/>
      <c r="M63" s="75" t="s">
        <v>1348</v>
      </c>
      <c r="N63" s="14" t="s">
        <v>1111</v>
      </c>
    </row>
    <row r="64" spans="1:14">
      <c r="A64" s="14">
        <v>80220140</v>
      </c>
      <c r="B64" s="11" t="s">
        <v>1349</v>
      </c>
      <c r="C64" s="14" t="s">
        <v>42</v>
      </c>
      <c r="D64" s="15" t="s">
        <v>1350</v>
      </c>
      <c r="E64" s="31">
        <v>45183</v>
      </c>
      <c r="F64" s="32" t="s">
        <v>1112</v>
      </c>
      <c r="G64" s="11" t="s">
        <v>1351</v>
      </c>
      <c r="H64" s="14" t="s">
        <v>1111</v>
      </c>
      <c r="I64" s="11" t="s">
        <v>106</v>
      </c>
      <c r="J64" s="11" t="s">
        <v>45</v>
      </c>
      <c r="K64" s="14" t="s">
        <v>1195</v>
      </c>
      <c r="L64" s="12"/>
      <c r="M64" s="12"/>
      <c r="N64" s="14" t="s">
        <v>1111</v>
      </c>
    </row>
    <row r="65" spans="1:14">
      <c r="A65" s="14"/>
      <c r="B65" s="11" t="s">
        <v>1266</v>
      </c>
      <c r="C65" s="14" t="s">
        <v>1151</v>
      </c>
      <c r="D65" s="15" t="s">
        <v>1111</v>
      </c>
      <c r="E65" s="31">
        <v>45139</v>
      </c>
      <c r="F65" s="32" t="s">
        <v>1112</v>
      </c>
      <c r="G65" s="11" t="s">
        <v>1267</v>
      </c>
      <c r="H65" s="14">
        <v>25</v>
      </c>
      <c r="I65" s="11" t="s">
        <v>515</v>
      </c>
      <c r="J65" s="11" t="s">
        <v>45</v>
      </c>
      <c r="K65" s="16" t="s">
        <v>1115</v>
      </c>
      <c r="L65" s="11" t="s">
        <v>1268</v>
      </c>
      <c r="M65" s="75"/>
      <c r="N65" s="14" t="s">
        <v>1111</v>
      </c>
    </row>
    <row r="66" spans="1:14">
      <c r="A66" s="14"/>
      <c r="B66" s="11" t="s">
        <v>1352</v>
      </c>
      <c r="C66" s="14" t="s">
        <v>1151</v>
      </c>
      <c r="D66" s="15"/>
      <c r="E66" s="31">
        <v>45139</v>
      </c>
      <c r="F66" s="32" t="s">
        <v>1112</v>
      </c>
      <c r="G66" s="11" t="s">
        <v>1353</v>
      </c>
      <c r="H66" s="14">
        <v>1538</v>
      </c>
      <c r="I66" s="11" t="s">
        <v>413</v>
      </c>
      <c r="J66" s="11" t="s">
        <v>45</v>
      </c>
      <c r="K66" s="16" t="s">
        <v>1122</v>
      </c>
      <c r="L66" s="11" t="s">
        <v>1354</v>
      </c>
      <c r="M66" s="11"/>
      <c r="N66" s="14" t="s">
        <v>1355</v>
      </c>
    </row>
    <row r="67" spans="1:14">
      <c r="A67" s="14"/>
      <c r="B67" s="11" t="s">
        <v>1356</v>
      </c>
      <c r="C67" s="14" t="s">
        <v>1151</v>
      </c>
      <c r="D67" s="15"/>
      <c r="E67" s="31">
        <v>45139</v>
      </c>
      <c r="F67" s="32" t="s">
        <v>1112</v>
      </c>
      <c r="G67" s="11" t="s">
        <v>1357</v>
      </c>
      <c r="H67" s="14">
        <v>520</v>
      </c>
      <c r="I67" s="11" t="s">
        <v>1358</v>
      </c>
      <c r="J67" s="11" t="s">
        <v>45</v>
      </c>
      <c r="K67" s="16" t="s">
        <v>1122</v>
      </c>
      <c r="L67" s="11" t="s">
        <v>1359</v>
      </c>
      <c r="M67" s="11"/>
      <c r="N67" s="14" t="s">
        <v>1111</v>
      </c>
    </row>
    <row r="68" spans="1:14">
      <c r="A68" s="14"/>
      <c r="B68" s="11" t="s">
        <v>1360</v>
      </c>
      <c r="C68" s="14" t="s">
        <v>1151</v>
      </c>
      <c r="D68" s="15"/>
      <c r="E68" s="31">
        <v>45139</v>
      </c>
      <c r="F68" s="32" t="s">
        <v>1112</v>
      </c>
      <c r="G68" s="11" t="s">
        <v>1361</v>
      </c>
      <c r="H68" s="14">
        <v>32</v>
      </c>
      <c r="I68" s="11" t="s">
        <v>1362</v>
      </c>
      <c r="J68" s="11" t="s">
        <v>45</v>
      </c>
      <c r="K68" s="16" t="s">
        <v>1115</v>
      </c>
      <c r="L68" s="11" t="s">
        <v>1363</v>
      </c>
      <c r="M68" s="11"/>
      <c r="N68" s="14" t="s">
        <v>1111</v>
      </c>
    </row>
    <row r="69" spans="1:14">
      <c r="A69" s="14"/>
      <c r="B69" s="11" t="s">
        <v>1364</v>
      </c>
      <c r="C69" s="14" t="s">
        <v>1151</v>
      </c>
      <c r="D69" s="15"/>
      <c r="E69" s="31">
        <v>45139</v>
      </c>
      <c r="F69" s="32" t="s">
        <v>1112</v>
      </c>
      <c r="G69" s="11" t="s">
        <v>1365</v>
      </c>
      <c r="H69" s="14">
        <v>140</v>
      </c>
      <c r="I69" s="11" t="s">
        <v>1366</v>
      </c>
      <c r="J69" s="11" t="s">
        <v>45</v>
      </c>
      <c r="K69" s="16" t="s">
        <v>1122</v>
      </c>
      <c r="L69" s="11" t="s">
        <v>1367</v>
      </c>
      <c r="M69" s="11" t="s">
        <v>1367</v>
      </c>
      <c r="N69" s="14" t="s">
        <v>1368</v>
      </c>
    </row>
    <row r="70" spans="1:14">
      <c r="A70" s="14">
        <v>80867673</v>
      </c>
      <c r="B70" s="11" t="s">
        <v>1369</v>
      </c>
      <c r="C70" s="14" t="s">
        <v>42</v>
      </c>
      <c r="D70" s="15" t="s">
        <v>1370</v>
      </c>
      <c r="E70" s="31">
        <v>45194</v>
      </c>
      <c r="F70" s="32" t="s">
        <v>1371</v>
      </c>
      <c r="G70" s="11" t="s">
        <v>1372</v>
      </c>
      <c r="H70" s="14">
        <v>52</v>
      </c>
      <c r="I70" s="11" t="s">
        <v>413</v>
      </c>
      <c r="J70" s="11" t="s">
        <v>45</v>
      </c>
      <c r="K70" s="16" t="s">
        <v>1122</v>
      </c>
      <c r="L70" s="11" t="s">
        <v>1373</v>
      </c>
      <c r="M70" s="11"/>
      <c r="N70" s="14" t="s">
        <v>1111</v>
      </c>
    </row>
    <row r="71" spans="1:14" customFormat="1">
      <c r="A71" s="14">
        <v>40172746</v>
      </c>
      <c r="B71" s="11" t="s">
        <v>1374</v>
      </c>
      <c r="C71" s="14" t="s">
        <v>42</v>
      </c>
      <c r="D71" s="15" t="s">
        <v>1375</v>
      </c>
      <c r="E71" s="31">
        <v>45244</v>
      </c>
      <c r="F71" s="32" t="s">
        <v>1112</v>
      </c>
      <c r="G71" s="11" t="s">
        <v>1376</v>
      </c>
      <c r="H71" s="14" t="s">
        <v>45</v>
      </c>
      <c r="I71" s="80" t="s">
        <v>1208</v>
      </c>
      <c r="J71" s="11"/>
      <c r="K71" s="11" t="s">
        <v>1377</v>
      </c>
      <c r="L71" s="11" t="s">
        <v>1111</v>
      </c>
      <c r="M71" s="11"/>
      <c r="N71" s="72"/>
    </row>
    <row r="72" spans="1:14" customFormat="1">
      <c r="A72" s="14">
        <v>81035813</v>
      </c>
      <c r="B72" s="11" t="s">
        <v>1378</v>
      </c>
      <c r="C72" s="14" t="s">
        <v>42</v>
      </c>
      <c r="D72" s="73" t="s">
        <v>1111</v>
      </c>
      <c r="E72" s="31">
        <v>45234</v>
      </c>
      <c r="F72" s="32" t="s">
        <v>1112</v>
      </c>
      <c r="G72" s="11" t="s">
        <v>1379</v>
      </c>
      <c r="H72" s="14"/>
      <c r="I72" s="11" t="s">
        <v>1380</v>
      </c>
      <c r="J72" s="11" t="s">
        <v>45</v>
      </c>
      <c r="K72" s="16"/>
      <c r="L72" s="11"/>
      <c r="M72" s="11"/>
      <c r="N72" s="14" t="s">
        <v>1381</v>
      </c>
    </row>
    <row r="73" spans="1:14" customFormat="1">
      <c r="A73" s="14">
        <v>40216296</v>
      </c>
      <c r="B73" s="11" t="s">
        <v>1382</v>
      </c>
      <c r="C73" s="14" t="s">
        <v>42</v>
      </c>
      <c r="D73" s="15" t="s">
        <v>1137</v>
      </c>
      <c r="E73" s="31">
        <v>45234</v>
      </c>
      <c r="F73" s="32" t="s">
        <v>1112</v>
      </c>
      <c r="G73" s="75" t="s">
        <v>1383</v>
      </c>
      <c r="H73" s="14">
        <v>246</v>
      </c>
      <c r="I73" s="11" t="s">
        <v>162</v>
      </c>
      <c r="J73" s="11" t="s">
        <v>45</v>
      </c>
      <c r="K73" s="16" t="s">
        <v>1115</v>
      </c>
      <c r="L73" s="76" t="s">
        <v>1384</v>
      </c>
      <c r="M73" s="76" t="s">
        <v>1385</v>
      </c>
      <c r="N73" s="14" t="s">
        <v>1111</v>
      </c>
    </row>
    <row r="74" spans="1:14" s="1" customFormat="1" ht="12.95">
      <c r="A74" s="14">
        <v>80997389</v>
      </c>
      <c r="B74" s="94" t="s">
        <v>1386</v>
      </c>
      <c r="C74" s="14" t="s">
        <v>42</v>
      </c>
      <c r="D74" s="15" t="s">
        <v>1111</v>
      </c>
      <c r="E74" s="31">
        <v>45234</v>
      </c>
      <c r="F74" s="32" t="s">
        <v>1112</v>
      </c>
      <c r="G74" s="13" t="s">
        <v>1387</v>
      </c>
      <c r="H74" s="14">
        <v>6</v>
      </c>
      <c r="I74" s="94" t="s">
        <v>1388</v>
      </c>
      <c r="J74" s="78" t="s">
        <v>45</v>
      </c>
      <c r="K74" s="16" t="s">
        <v>1122</v>
      </c>
      <c r="L74" s="11"/>
      <c r="M74" s="11" t="s">
        <v>1389</v>
      </c>
      <c r="N74" s="14" t="s">
        <v>1390</v>
      </c>
    </row>
    <row r="75" spans="1:14" customFormat="1">
      <c r="A75" s="14">
        <v>40216130</v>
      </c>
      <c r="B75" s="94" t="s">
        <v>1391</v>
      </c>
      <c r="C75" s="14" t="s">
        <v>42</v>
      </c>
      <c r="D75" s="15" t="s">
        <v>1137</v>
      </c>
      <c r="E75" s="31">
        <v>45234</v>
      </c>
      <c r="F75" s="32" t="s">
        <v>1112</v>
      </c>
      <c r="G75" s="13" t="s">
        <v>1392</v>
      </c>
      <c r="H75" s="14" t="s">
        <v>1111</v>
      </c>
      <c r="I75" s="94" t="s">
        <v>118</v>
      </c>
      <c r="J75" s="78" t="s">
        <v>45</v>
      </c>
      <c r="K75" s="16" t="s">
        <v>1208</v>
      </c>
      <c r="L75" s="11"/>
      <c r="M75" s="11" t="s">
        <v>1393</v>
      </c>
      <c r="N75" s="14" t="s">
        <v>1111</v>
      </c>
    </row>
    <row r="76" spans="1:14">
      <c r="A76" s="14" t="s">
        <v>1146</v>
      </c>
      <c r="B76" s="11" t="s">
        <v>1394</v>
      </c>
      <c r="C76" s="14" t="s">
        <v>130</v>
      </c>
      <c r="D76" s="96">
        <v>45099</v>
      </c>
      <c r="E76" s="31">
        <v>45279</v>
      </c>
      <c r="F76" s="31" t="s">
        <v>1112</v>
      </c>
      <c r="G76" s="11" t="s">
        <v>1395</v>
      </c>
      <c r="H76" s="14">
        <v>17</v>
      </c>
      <c r="I76" s="11" t="s">
        <v>1396</v>
      </c>
      <c r="J76" s="11" t="s">
        <v>45</v>
      </c>
      <c r="K76" s="16" t="s">
        <v>1115</v>
      </c>
      <c r="L76" s="11" t="s">
        <v>1397</v>
      </c>
      <c r="M76" s="11"/>
      <c r="N76" s="14" t="s">
        <v>1398</v>
      </c>
    </row>
    <row r="77" spans="1:14">
      <c r="A77" s="14">
        <v>81009963</v>
      </c>
      <c r="B77" s="11" t="s">
        <v>1399</v>
      </c>
      <c r="C77" s="14" t="s">
        <v>42</v>
      </c>
      <c r="D77" s="79">
        <v>44928</v>
      </c>
      <c r="E77" s="70">
        <v>45293</v>
      </c>
      <c r="F77" s="71" t="s">
        <v>1112</v>
      </c>
      <c r="G77" s="11" t="s">
        <v>1400</v>
      </c>
      <c r="H77" s="14">
        <v>135</v>
      </c>
      <c r="I77" s="99" t="s">
        <v>338</v>
      </c>
      <c r="J77" s="11" t="s">
        <v>45</v>
      </c>
      <c r="K77" s="77" t="s">
        <v>1208</v>
      </c>
      <c r="L77" s="11" t="s">
        <v>1401</v>
      </c>
      <c r="M77" s="11"/>
      <c r="N77" s="14">
        <v>71991958233</v>
      </c>
    </row>
    <row r="78" spans="1:14">
      <c r="A78" s="14">
        <v>40192143</v>
      </c>
      <c r="B78" s="11" t="s">
        <v>1402</v>
      </c>
      <c r="C78" s="14" t="s">
        <v>42</v>
      </c>
      <c r="D78" s="79">
        <v>41096</v>
      </c>
      <c r="E78" s="70">
        <v>45293</v>
      </c>
      <c r="F78" s="71" t="s">
        <v>1112</v>
      </c>
      <c r="G78" s="100" t="s">
        <v>1174</v>
      </c>
      <c r="H78" s="14" t="s">
        <v>1111</v>
      </c>
      <c r="I78" s="11" t="s">
        <v>143</v>
      </c>
      <c r="J78" s="11" t="s">
        <v>45</v>
      </c>
      <c r="K78" s="77" t="s">
        <v>1122</v>
      </c>
      <c r="L78" s="11" t="s">
        <v>1403</v>
      </c>
      <c r="M78" s="11"/>
      <c r="N78" s="14" t="s">
        <v>1111</v>
      </c>
    </row>
    <row r="79" spans="1:14">
      <c r="A79" s="14">
        <v>80066813</v>
      </c>
      <c r="B79" s="11" t="s">
        <v>1404</v>
      </c>
      <c r="C79" s="14" t="s">
        <v>42</v>
      </c>
      <c r="D79" s="79">
        <v>44095</v>
      </c>
      <c r="E79" s="70">
        <v>45327</v>
      </c>
      <c r="F79" s="71" t="s">
        <v>1112</v>
      </c>
      <c r="G79" s="100" t="s">
        <v>1405</v>
      </c>
      <c r="H79" s="14">
        <v>5</v>
      </c>
      <c r="I79" s="11" t="s">
        <v>150</v>
      </c>
      <c r="J79" s="11" t="s">
        <v>45</v>
      </c>
      <c r="K79" s="77" t="s">
        <v>1115</v>
      </c>
      <c r="L79" s="11"/>
      <c r="M79" s="11" t="s">
        <v>1406</v>
      </c>
      <c r="N79" s="14" t="s">
        <v>1111</v>
      </c>
    </row>
    <row r="80" spans="1:14" customFormat="1">
      <c r="A80" s="14">
        <v>81066196</v>
      </c>
      <c r="B80" s="11" t="s">
        <v>1407</v>
      </c>
      <c r="C80" s="14" t="s">
        <v>42</v>
      </c>
      <c r="D80" s="15" t="s">
        <v>1111</v>
      </c>
      <c r="E80" s="70">
        <v>45327</v>
      </c>
      <c r="F80" s="71" t="s">
        <v>1112</v>
      </c>
      <c r="G80" s="11" t="s">
        <v>1408</v>
      </c>
      <c r="H80" s="14"/>
      <c r="I80" s="80" t="s">
        <v>1122</v>
      </c>
      <c r="J80" s="11" t="s">
        <v>45</v>
      </c>
      <c r="K80" s="11"/>
      <c r="L80" s="11"/>
      <c r="M80" s="11"/>
      <c r="N80" s="11" t="s">
        <v>1409</v>
      </c>
    </row>
    <row r="81" spans="1:14" customFormat="1">
      <c r="A81" s="14">
        <v>80851930</v>
      </c>
      <c r="B81" s="11" t="s">
        <v>1410</v>
      </c>
      <c r="C81" s="14" t="s">
        <v>42</v>
      </c>
      <c r="D81" s="15" t="s">
        <v>1111</v>
      </c>
      <c r="E81" s="70">
        <v>45419</v>
      </c>
      <c r="F81" s="71" t="s">
        <v>1112</v>
      </c>
      <c r="G81" s="75" t="s">
        <v>1411</v>
      </c>
      <c r="H81" s="14"/>
      <c r="I81" s="80" t="s">
        <v>351</v>
      </c>
      <c r="J81" s="75" t="s">
        <v>45</v>
      </c>
      <c r="K81" s="11"/>
      <c r="L81" s="11" t="s">
        <v>1111</v>
      </c>
      <c r="M81" s="11"/>
      <c r="N81" s="14" t="s">
        <v>1111</v>
      </c>
    </row>
    <row r="82" spans="1:14" customFormat="1">
      <c r="A82" s="14">
        <v>80315518</v>
      </c>
      <c r="B82" s="11" t="s">
        <v>1412</v>
      </c>
      <c r="C82" s="14" t="s">
        <v>42</v>
      </c>
      <c r="D82" s="15" t="s">
        <v>1413</v>
      </c>
      <c r="E82" s="70">
        <v>45419</v>
      </c>
      <c r="F82" s="71" t="s">
        <v>1112</v>
      </c>
      <c r="G82" s="11" t="s">
        <v>1414</v>
      </c>
      <c r="H82" s="14"/>
      <c r="I82" s="80" t="s">
        <v>1271</v>
      </c>
      <c r="J82" s="11" t="s">
        <v>45</v>
      </c>
      <c r="K82" s="11"/>
      <c r="L82" s="11" t="s">
        <v>1111</v>
      </c>
      <c r="M82" s="11"/>
      <c r="N82" s="81" t="s">
        <v>1111</v>
      </c>
    </row>
    <row r="83" spans="1:14" customFormat="1">
      <c r="A83" s="14">
        <v>81018416</v>
      </c>
      <c r="B83" s="11" t="s">
        <v>1415</v>
      </c>
      <c r="C83" s="14" t="s">
        <v>42</v>
      </c>
      <c r="D83" s="15" t="s">
        <v>1111</v>
      </c>
      <c r="E83" s="70">
        <v>45419</v>
      </c>
      <c r="F83" s="71" t="s">
        <v>1112</v>
      </c>
      <c r="G83" s="11" t="s">
        <v>1416</v>
      </c>
      <c r="H83" s="14">
        <v>176</v>
      </c>
      <c r="I83" s="80" t="s">
        <v>413</v>
      </c>
      <c r="J83" s="11" t="s">
        <v>45</v>
      </c>
      <c r="K83" s="11"/>
      <c r="L83" s="11"/>
      <c r="M83" s="11"/>
      <c r="N83" s="11" t="s">
        <v>1417</v>
      </c>
    </row>
    <row r="84" spans="1:14" customFormat="1">
      <c r="A84" s="14">
        <v>81016149</v>
      </c>
      <c r="B84" s="11" t="s">
        <v>1418</v>
      </c>
      <c r="C84" s="14" t="s">
        <v>42</v>
      </c>
      <c r="D84" s="85">
        <v>44958</v>
      </c>
      <c r="E84" s="70" t="s">
        <v>1111</v>
      </c>
      <c r="F84" s="71" t="s">
        <v>1112</v>
      </c>
      <c r="G84" s="11" t="s">
        <v>1419</v>
      </c>
      <c r="H84" s="11"/>
      <c r="I84" s="11" t="s">
        <v>1333</v>
      </c>
      <c r="J84" s="11" t="s">
        <v>45</v>
      </c>
      <c r="K84" s="77" t="s">
        <v>1115</v>
      </c>
      <c r="L84" s="11"/>
      <c r="M84" s="11"/>
      <c r="N84" s="11" t="s">
        <v>1420</v>
      </c>
    </row>
    <row r="85" spans="1:14" customFormat="1">
      <c r="A85" s="14">
        <v>81010996</v>
      </c>
      <c r="B85" s="11" t="s">
        <v>1421</v>
      </c>
      <c r="C85" s="14" t="s">
        <v>42</v>
      </c>
      <c r="D85" s="85">
        <v>44935</v>
      </c>
      <c r="E85" s="70">
        <v>45553</v>
      </c>
      <c r="F85" s="71" t="s">
        <v>1112</v>
      </c>
      <c r="G85" s="11" t="s">
        <v>1237</v>
      </c>
      <c r="H85" s="14">
        <v>496</v>
      </c>
      <c r="I85" s="80" t="s">
        <v>413</v>
      </c>
      <c r="J85" s="11" t="s">
        <v>1422</v>
      </c>
      <c r="K85" s="11"/>
      <c r="L85" s="14"/>
      <c r="M85" s="11" t="s">
        <v>1422</v>
      </c>
      <c r="N85" s="14" t="s">
        <v>1423</v>
      </c>
    </row>
    <row r="86" spans="1:14">
      <c r="A86" s="14">
        <v>80122249</v>
      </c>
      <c r="B86" s="11" t="s">
        <v>885</v>
      </c>
      <c r="C86" s="14" t="s">
        <v>42</v>
      </c>
      <c r="D86" s="15" t="s">
        <v>1424</v>
      </c>
      <c r="E86" s="70" t="s">
        <v>1111</v>
      </c>
      <c r="F86" s="32" t="s">
        <v>1371</v>
      </c>
      <c r="G86" s="11" t="s">
        <v>1425</v>
      </c>
      <c r="H86" s="14">
        <v>650</v>
      </c>
      <c r="I86" s="14" t="s">
        <v>37</v>
      </c>
      <c r="J86" s="14" t="s">
        <v>45</v>
      </c>
      <c r="K86" s="16" t="s">
        <v>13</v>
      </c>
      <c r="L86" s="88"/>
      <c r="M86" s="12" t="s">
        <v>1426</v>
      </c>
      <c r="N86" s="14" t="s">
        <v>1427</v>
      </c>
    </row>
    <row r="87" spans="1:14" s="82" customFormat="1">
      <c r="A87" s="14">
        <v>40190451</v>
      </c>
      <c r="B87" s="11" t="s">
        <v>1428</v>
      </c>
      <c r="C87" s="14" t="s">
        <v>42</v>
      </c>
      <c r="D87" s="15" t="s">
        <v>1429</v>
      </c>
      <c r="E87" s="70" t="s">
        <v>1111</v>
      </c>
      <c r="F87" s="71" t="s">
        <v>1112</v>
      </c>
      <c r="G87" s="75" t="s">
        <v>1430</v>
      </c>
      <c r="H87" s="18">
        <v>284</v>
      </c>
      <c r="I87" s="101" t="s">
        <v>1153</v>
      </c>
      <c r="J87" s="18" t="s">
        <v>45</v>
      </c>
      <c r="K87" s="16" t="s">
        <v>1115</v>
      </c>
      <c r="L87" s="75" t="s">
        <v>1431</v>
      </c>
      <c r="M87" s="11"/>
      <c r="N87" s="14" t="s">
        <v>1111</v>
      </c>
    </row>
    <row r="88" spans="1:14" customFormat="1">
      <c r="A88" s="14">
        <v>40192612</v>
      </c>
      <c r="B88" s="11" t="s">
        <v>807</v>
      </c>
      <c r="C88" s="14" t="s">
        <v>42</v>
      </c>
      <c r="D88" s="15" t="s">
        <v>1432</v>
      </c>
      <c r="E88" s="70" t="s">
        <v>1111</v>
      </c>
      <c r="F88" s="71" t="s">
        <v>1433</v>
      </c>
      <c r="G88" s="75" t="s">
        <v>1434</v>
      </c>
      <c r="H88" s="15" t="s">
        <v>1111</v>
      </c>
      <c r="I88" s="15" t="s">
        <v>351</v>
      </c>
      <c r="J88" s="15" t="s">
        <v>45</v>
      </c>
      <c r="K88" s="16" t="s">
        <v>1115</v>
      </c>
      <c r="L88" s="75" t="s">
        <v>1435</v>
      </c>
      <c r="M88" s="12"/>
      <c r="N88" s="15" t="s">
        <v>1111</v>
      </c>
    </row>
    <row r="89" spans="1:14" customFormat="1">
      <c r="A89" s="14">
        <v>80186544</v>
      </c>
      <c r="B89" s="11" t="s">
        <v>1436</v>
      </c>
      <c r="C89" s="14" t="s">
        <v>42</v>
      </c>
      <c r="D89" s="15" t="s">
        <v>1437</v>
      </c>
      <c r="E89" s="70" t="s">
        <v>1111</v>
      </c>
      <c r="F89" s="71" t="s">
        <v>1112</v>
      </c>
      <c r="G89" s="75" t="s">
        <v>1430</v>
      </c>
      <c r="H89" s="14">
        <v>284</v>
      </c>
      <c r="I89" s="101" t="s">
        <v>1153</v>
      </c>
      <c r="J89" s="14" t="s">
        <v>45</v>
      </c>
      <c r="K89" s="16" t="s">
        <v>1115</v>
      </c>
      <c r="L89" s="75" t="s">
        <v>1431</v>
      </c>
      <c r="M89" s="12"/>
      <c r="N89" s="14" t="s">
        <v>1111</v>
      </c>
    </row>
    <row r="90" spans="1:14" customFormat="1" ht="12.75" customHeight="1">
      <c r="A90" s="14">
        <v>80011644</v>
      </c>
      <c r="B90" s="11" t="s">
        <v>1438</v>
      </c>
      <c r="C90" s="14" t="s">
        <v>42</v>
      </c>
      <c r="D90" s="15" t="s">
        <v>1439</v>
      </c>
      <c r="E90" s="70" t="s">
        <v>1111</v>
      </c>
      <c r="F90" s="71" t="s">
        <v>1433</v>
      </c>
      <c r="G90" s="75" t="s">
        <v>1440</v>
      </c>
      <c r="H90" s="15" t="s">
        <v>1111</v>
      </c>
      <c r="I90" s="15" t="s">
        <v>351</v>
      </c>
      <c r="J90" s="15" t="s">
        <v>45</v>
      </c>
      <c r="K90" s="16" t="s">
        <v>1115</v>
      </c>
      <c r="L90" s="12"/>
      <c r="M90" s="75" t="s">
        <v>1441</v>
      </c>
      <c r="N90" s="15" t="s">
        <v>1111</v>
      </c>
    </row>
    <row r="91" spans="1:14" customFormat="1">
      <c r="A91" s="14">
        <v>40192613</v>
      </c>
      <c r="B91" s="11" t="s">
        <v>1442</v>
      </c>
      <c r="C91" s="14" t="s">
        <v>42</v>
      </c>
      <c r="D91" s="15" t="s">
        <v>1432</v>
      </c>
      <c r="E91" s="70" t="s">
        <v>1111</v>
      </c>
      <c r="F91" s="71" t="s">
        <v>1433</v>
      </c>
      <c r="G91" s="75" t="s">
        <v>1443</v>
      </c>
      <c r="H91" s="15" t="s">
        <v>1111</v>
      </c>
      <c r="I91" s="15" t="s">
        <v>1444</v>
      </c>
      <c r="J91" s="15" t="s">
        <v>45</v>
      </c>
      <c r="K91" s="16" t="s">
        <v>1115</v>
      </c>
      <c r="L91" s="12"/>
      <c r="M91" s="75" t="s">
        <v>1445</v>
      </c>
      <c r="N91" s="15" t="s">
        <v>1111</v>
      </c>
    </row>
    <row r="92" spans="1:14" customFormat="1">
      <c r="A92" s="14">
        <v>40172746</v>
      </c>
      <c r="B92" s="11" t="s">
        <v>1374</v>
      </c>
      <c r="C92" s="14" t="s">
        <v>42</v>
      </c>
      <c r="D92" s="15" t="s">
        <v>1375</v>
      </c>
      <c r="E92" s="70" t="s">
        <v>1111</v>
      </c>
      <c r="F92" s="32" t="s">
        <v>1371</v>
      </c>
      <c r="G92" s="11" t="s">
        <v>1446</v>
      </c>
      <c r="H92" s="14">
        <v>792</v>
      </c>
      <c r="I92" s="14" t="s">
        <v>1376</v>
      </c>
      <c r="J92" s="14" t="s">
        <v>45</v>
      </c>
      <c r="K92" s="16" t="s">
        <v>1208</v>
      </c>
      <c r="L92" s="11"/>
      <c r="M92" s="11" t="s">
        <v>1377</v>
      </c>
      <c r="N92" s="14" t="s">
        <v>1111</v>
      </c>
    </row>
    <row r="93" spans="1:14" customFormat="1">
      <c r="A93" s="14" t="s">
        <v>1146</v>
      </c>
      <c r="B93" s="11" t="s">
        <v>1447</v>
      </c>
      <c r="C93" s="14" t="s">
        <v>130</v>
      </c>
      <c r="D93" s="96">
        <v>45098</v>
      </c>
      <c r="E93" s="70">
        <v>45581</v>
      </c>
      <c r="F93" s="71" t="s">
        <v>1112</v>
      </c>
      <c r="G93" s="11" t="s">
        <v>1448</v>
      </c>
      <c r="H93" s="14">
        <v>7</v>
      </c>
      <c r="I93" s="14" t="s">
        <v>37</v>
      </c>
      <c r="J93" s="14" t="s">
        <v>45</v>
      </c>
      <c r="K93" s="16" t="s">
        <v>1122</v>
      </c>
      <c r="L93" s="11"/>
      <c r="M93" s="11"/>
      <c r="N93" s="14" t="s">
        <v>1449</v>
      </c>
    </row>
    <row r="94" spans="1:14" customFormat="1">
      <c r="A94" s="14" t="s">
        <v>1146</v>
      </c>
      <c r="B94" s="11" t="s">
        <v>1450</v>
      </c>
      <c r="C94" s="14" t="s">
        <v>130</v>
      </c>
      <c r="D94" s="96">
        <v>45450</v>
      </c>
      <c r="E94" s="70">
        <v>45605</v>
      </c>
      <c r="F94" s="71" t="s">
        <v>1112</v>
      </c>
      <c r="G94" s="11" t="s">
        <v>1451</v>
      </c>
      <c r="H94" s="14">
        <v>245</v>
      </c>
      <c r="I94" s="14" t="s">
        <v>150</v>
      </c>
      <c r="J94" s="14" t="s">
        <v>45</v>
      </c>
      <c r="K94" s="16" t="s">
        <v>1122</v>
      </c>
      <c r="L94" s="11" t="s">
        <v>45</v>
      </c>
      <c r="M94" s="11" t="s">
        <v>1452</v>
      </c>
      <c r="N94" s="14">
        <v>75982734513</v>
      </c>
    </row>
    <row r="95" spans="1:14" s="115" customFormat="1" ht="12.95">
      <c r="A95" s="102" t="s">
        <v>1146</v>
      </c>
      <c r="B95" s="14" t="s">
        <v>1453</v>
      </c>
      <c r="C95" s="102" t="s">
        <v>322</v>
      </c>
      <c r="D95" s="102" t="s">
        <v>1146</v>
      </c>
      <c r="E95" s="70">
        <v>45653</v>
      </c>
      <c r="F95" s="71" t="s">
        <v>1112</v>
      </c>
      <c r="G95" s="106">
        <v>45538</v>
      </c>
      <c r="H95" s="102" t="str">
        <f>I95 &amp; ", " &amp; J95 &amp; ", " &amp; K95 &amp; ", " &amp; L95 &amp; ", BAHIA" &amp; ", BRASIL"</f>
        <v>RUA ITACARAMBI, 46, FEIRA X, FEIRA DE SANTANA, BAHIA, BRASIL</v>
      </c>
      <c r="I95" s="102" t="s">
        <v>1454</v>
      </c>
      <c r="J95" s="102">
        <v>46</v>
      </c>
      <c r="K95" s="102" t="s">
        <v>351</v>
      </c>
      <c r="L95" s="102" t="s">
        <v>45</v>
      </c>
      <c r="M95" s="103" t="s">
        <v>1455</v>
      </c>
      <c r="N95" s="102"/>
    </row>
    <row r="96" spans="1:14" s="115" customFormat="1" ht="12.95">
      <c r="A96" s="102" t="str">
        <f>_xlfn.XLOOKUP(B96,RH!E83:E207,RH!D83:D207,"NA")</f>
        <v>NA</v>
      </c>
      <c r="B96" s="102" t="s">
        <v>1456</v>
      </c>
      <c r="C96" s="102" t="s">
        <v>42</v>
      </c>
      <c r="D96" s="102" t="s">
        <v>1457</v>
      </c>
      <c r="E96" s="70">
        <v>45757</v>
      </c>
      <c r="F96" s="71" t="s">
        <v>1112</v>
      </c>
      <c r="G96" s="102" t="str">
        <f>H96 &amp; ", " &amp; I96 &amp; ", " &amp; J96 &amp; ", " &amp; K96 &amp; ", BAHIA" &amp; ", BRASIL"</f>
        <v>TRAVENIDA E CHACARA MIRINEU, 520, SIM, FEIRA DE SANTANA, BAHIA, BRASIL</v>
      </c>
      <c r="H96" s="102" t="s">
        <v>1458</v>
      </c>
      <c r="I96" s="102">
        <v>520</v>
      </c>
      <c r="J96" s="102" t="s">
        <v>37</v>
      </c>
      <c r="K96" s="102" t="s">
        <v>45</v>
      </c>
      <c r="L96" s="103" t="s">
        <v>13</v>
      </c>
      <c r="M96" s="102"/>
      <c r="N96" s="102" t="s">
        <v>1459</v>
      </c>
    </row>
  </sheetData>
  <conditionalFormatting sqref="A1">
    <cfRule type="duplicateValues" dxfId="102" priority="196"/>
  </conditionalFormatting>
  <conditionalFormatting sqref="A5 A3">
    <cfRule type="duplicateValues" dxfId="101" priority="105"/>
  </conditionalFormatting>
  <conditionalFormatting sqref="A6 A4 A2">
    <cfRule type="duplicateValues" dxfId="100" priority="104"/>
  </conditionalFormatting>
  <conditionalFormatting sqref="A7">
    <cfRule type="duplicateValues" dxfId="99" priority="103"/>
  </conditionalFormatting>
  <conditionalFormatting sqref="A8">
    <cfRule type="duplicateValues" dxfId="98" priority="102"/>
  </conditionalFormatting>
  <conditionalFormatting sqref="A9">
    <cfRule type="duplicateValues" dxfId="97" priority="101"/>
  </conditionalFormatting>
  <conditionalFormatting sqref="A10">
    <cfRule type="duplicateValues" dxfId="96" priority="100"/>
  </conditionalFormatting>
  <conditionalFormatting sqref="A12">
    <cfRule type="duplicateValues" dxfId="95" priority="99"/>
  </conditionalFormatting>
  <conditionalFormatting sqref="A13">
    <cfRule type="duplicateValues" dxfId="94" priority="97"/>
  </conditionalFormatting>
  <conditionalFormatting sqref="A14">
    <cfRule type="duplicateValues" dxfId="93" priority="94"/>
  </conditionalFormatting>
  <conditionalFormatting sqref="A15">
    <cfRule type="duplicateValues" dxfId="92" priority="92"/>
  </conditionalFormatting>
  <conditionalFormatting sqref="A16">
    <cfRule type="duplicateValues" dxfId="91" priority="91"/>
  </conditionalFormatting>
  <conditionalFormatting sqref="A17">
    <cfRule type="duplicateValues" dxfId="90" priority="89"/>
  </conditionalFormatting>
  <conditionalFormatting sqref="A18">
    <cfRule type="duplicateValues" dxfId="89" priority="87"/>
  </conditionalFormatting>
  <conditionalFormatting sqref="A19">
    <cfRule type="duplicateValues" dxfId="88" priority="86"/>
  </conditionalFormatting>
  <conditionalFormatting sqref="A20">
    <cfRule type="duplicateValues" dxfId="87" priority="85"/>
  </conditionalFormatting>
  <conditionalFormatting sqref="A21">
    <cfRule type="duplicateValues" dxfId="86" priority="83"/>
  </conditionalFormatting>
  <conditionalFormatting sqref="A22">
    <cfRule type="duplicateValues" dxfId="85" priority="81"/>
  </conditionalFormatting>
  <conditionalFormatting sqref="A23">
    <cfRule type="duplicateValues" dxfId="84" priority="79"/>
  </conditionalFormatting>
  <conditionalFormatting sqref="A24">
    <cfRule type="duplicateValues" dxfId="83" priority="77"/>
  </conditionalFormatting>
  <conditionalFormatting sqref="A25">
    <cfRule type="duplicateValues" dxfId="82" priority="74"/>
  </conditionalFormatting>
  <conditionalFormatting sqref="A26">
    <cfRule type="duplicateValues" dxfId="81" priority="70"/>
  </conditionalFormatting>
  <conditionalFormatting sqref="A27">
    <cfRule type="duplicateValues" dxfId="80" priority="69"/>
  </conditionalFormatting>
  <conditionalFormatting sqref="A28">
    <cfRule type="duplicateValues" dxfId="79" priority="68"/>
  </conditionalFormatting>
  <conditionalFormatting sqref="A29">
    <cfRule type="duplicateValues" dxfId="78" priority="67"/>
  </conditionalFormatting>
  <conditionalFormatting sqref="A30">
    <cfRule type="duplicateValues" dxfId="77" priority="66"/>
  </conditionalFormatting>
  <conditionalFormatting sqref="A32">
    <cfRule type="duplicateValues" dxfId="76" priority="65"/>
  </conditionalFormatting>
  <conditionalFormatting sqref="A33">
    <cfRule type="duplicateValues" dxfId="75" priority="64"/>
  </conditionalFormatting>
  <conditionalFormatting sqref="A34">
    <cfRule type="duplicateValues" dxfId="74" priority="63"/>
  </conditionalFormatting>
  <conditionalFormatting sqref="A35">
    <cfRule type="duplicateValues" dxfId="73" priority="62"/>
  </conditionalFormatting>
  <conditionalFormatting sqref="A36">
    <cfRule type="duplicateValues" dxfId="72" priority="61"/>
  </conditionalFormatting>
  <conditionalFormatting sqref="A37">
    <cfRule type="duplicateValues" dxfId="71" priority="60"/>
  </conditionalFormatting>
  <conditionalFormatting sqref="A38">
    <cfRule type="duplicateValues" dxfId="70" priority="59"/>
  </conditionalFormatting>
  <conditionalFormatting sqref="A39">
    <cfRule type="duplicateValues" dxfId="69" priority="58"/>
  </conditionalFormatting>
  <conditionalFormatting sqref="A40">
    <cfRule type="duplicateValues" dxfId="68" priority="57"/>
  </conditionalFormatting>
  <conditionalFormatting sqref="A41">
    <cfRule type="duplicateValues" dxfId="67" priority="56"/>
  </conditionalFormatting>
  <conditionalFormatting sqref="A42">
    <cfRule type="duplicateValues" dxfId="66" priority="55"/>
  </conditionalFormatting>
  <conditionalFormatting sqref="A43">
    <cfRule type="duplicateValues" dxfId="65" priority="54"/>
  </conditionalFormatting>
  <conditionalFormatting sqref="A44">
    <cfRule type="duplicateValues" dxfId="64" priority="53"/>
  </conditionalFormatting>
  <conditionalFormatting sqref="A45">
    <cfRule type="duplicateValues" dxfId="63" priority="52"/>
  </conditionalFormatting>
  <conditionalFormatting sqref="A46">
    <cfRule type="duplicateValues" dxfId="62" priority="51"/>
  </conditionalFormatting>
  <conditionalFormatting sqref="A47">
    <cfRule type="duplicateValues" dxfId="61" priority="50"/>
  </conditionalFormatting>
  <conditionalFormatting sqref="A48">
    <cfRule type="duplicateValues" dxfId="60" priority="49"/>
  </conditionalFormatting>
  <conditionalFormatting sqref="A49">
    <cfRule type="duplicateValues" dxfId="59" priority="48"/>
  </conditionalFormatting>
  <conditionalFormatting sqref="A50">
    <cfRule type="duplicateValues" dxfId="58" priority="47"/>
  </conditionalFormatting>
  <conditionalFormatting sqref="A51">
    <cfRule type="duplicateValues" dxfId="57" priority="46"/>
  </conditionalFormatting>
  <conditionalFormatting sqref="A52">
    <cfRule type="duplicateValues" dxfId="56" priority="45"/>
  </conditionalFormatting>
  <conditionalFormatting sqref="A53">
    <cfRule type="duplicateValues" dxfId="55" priority="44"/>
  </conditionalFormatting>
  <conditionalFormatting sqref="A54">
    <cfRule type="duplicateValues" dxfId="54" priority="43"/>
  </conditionalFormatting>
  <conditionalFormatting sqref="A55">
    <cfRule type="duplicateValues" dxfId="53" priority="42"/>
  </conditionalFormatting>
  <conditionalFormatting sqref="A56">
    <cfRule type="duplicateValues" dxfId="52" priority="41"/>
  </conditionalFormatting>
  <conditionalFormatting sqref="A57">
    <cfRule type="duplicateValues" dxfId="51" priority="40"/>
  </conditionalFormatting>
  <conditionalFormatting sqref="A58">
    <cfRule type="duplicateValues" dxfId="50" priority="39"/>
  </conditionalFormatting>
  <conditionalFormatting sqref="A59">
    <cfRule type="duplicateValues" dxfId="49" priority="38"/>
  </conditionalFormatting>
  <conditionalFormatting sqref="A60">
    <cfRule type="duplicateValues" dxfId="48" priority="37"/>
  </conditionalFormatting>
  <conditionalFormatting sqref="A61">
    <cfRule type="duplicateValues" dxfId="47" priority="36"/>
  </conditionalFormatting>
  <conditionalFormatting sqref="A62">
    <cfRule type="duplicateValues" dxfId="46" priority="35"/>
  </conditionalFormatting>
  <conditionalFormatting sqref="A63">
    <cfRule type="duplicateValues" dxfId="45" priority="34"/>
  </conditionalFormatting>
  <conditionalFormatting sqref="A64">
    <cfRule type="duplicateValues" dxfId="44" priority="33"/>
  </conditionalFormatting>
  <conditionalFormatting sqref="A65">
    <cfRule type="duplicateValues" dxfId="43" priority="32"/>
  </conditionalFormatting>
  <conditionalFormatting sqref="A66">
    <cfRule type="duplicateValues" dxfId="42" priority="31"/>
  </conditionalFormatting>
  <conditionalFormatting sqref="A67">
    <cfRule type="duplicateValues" dxfId="41" priority="29"/>
  </conditionalFormatting>
  <conditionalFormatting sqref="A68">
    <cfRule type="duplicateValues" dxfId="40" priority="28"/>
  </conditionalFormatting>
  <conditionalFormatting sqref="A69">
    <cfRule type="duplicateValues" dxfId="39" priority="27"/>
  </conditionalFormatting>
  <conditionalFormatting sqref="A70">
    <cfRule type="duplicateValues" dxfId="38" priority="26"/>
  </conditionalFormatting>
  <conditionalFormatting sqref="A71">
    <cfRule type="duplicateValues" dxfId="37" priority="25"/>
  </conditionalFormatting>
  <conditionalFormatting sqref="A72">
    <cfRule type="duplicateValues" dxfId="36" priority="24"/>
  </conditionalFormatting>
  <conditionalFormatting sqref="A73">
    <cfRule type="duplicateValues" dxfId="35" priority="23"/>
  </conditionalFormatting>
  <conditionalFormatting sqref="A74">
    <cfRule type="duplicateValues" dxfId="34" priority="22"/>
  </conditionalFormatting>
  <conditionalFormatting sqref="A75">
    <cfRule type="duplicateValues" dxfId="33" priority="21"/>
  </conditionalFormatting>
  <conditionalFormatting sqref="A76">
    <cfRule type="duplicateValues" dxfId="32" priority="19"/>
  </conditionalFormatting>
  <conditionalFormatting sqref="A80">
    <cfRule type="duplicateValues" dxfId="31" priority="18"/>
  </conditionalFormatting>
  <conditionalFormatting sqref="A81">
    <cfRule type="duplicateValues" dxfId="30" priority="17"/>
  </conditionalFormatting>
  <conditionalFormatting sqref="A82">
    <cfRule type="duplicateValues" dxfId="29" priority="16"/>
  </conditionalFormatting>
  <conditionalFormatting sqref="A83">
    <cfRule type="duplicateValues" dxfId="28" priority="15"/>
  </conditionalFormatting>
  <conditionalFormatting sqref="A84">
    <cfRule type="duplicateValues" dxfId="27" priority="14"/>
  </conditionalFormatting>
  <conditionalFormatting sqref="A85">
    <cfRule type="duplicateValues" dxfId="26" priority="13"/>
  </conditionalFormatting>
  <conditionalFormatting sqref="A86">
    <cfRule type="duplicateValues" dxfId="25" priority="12"/>
  </conditionalFormatting>
  <conditionalFormatting sqref="A87">
    <cfRule type="duplicateValues" dxfId="24" priority="11"/>
  </conditionalFormatting>
  <conditionalFormatting sqref="A88">
    <cfRule type="duplicateValues" dxfId="23" priority="10"/>
  </conditionalFormatting>
  <conditionalFormatting sqref="A89">
    <cfRule type="duplicateValues" dxfId="22" priority="9"/>
  </conditionalFormatting>
  <conditionalFormatting sqref="A90">
    <cfRule type="duplicateValues" dxfId="21" priority="8"/>
  </conditionalFormatting>
  <conditionalFormatting sqref="A91">
    <cfRule type="duplicateValues" dxfId="20" priority="7"/>
  </conditionalFormatting>
  <conditionalFormatting sqref="A92">
    <cfRule type="duplicateValues" dxfId="19" priority="6"/>
  </conditionalFormatting>
  <conditionalFormatting sqref="A93">
    <cfRule type="duplicateValues" dxfId="18" priority="5"/>
  </conditionalFormatting>
  <conditionalFormatting sqref="A94">
    <cfRule type="duplicateValues" dxfId="17" priority="3"/>
  </conditionalFormatting>
  <conditionalFormatting sqref="A95">
    <cfRule type="duplicateValues" dxfId="16" priority="2"/>
  </conditionalFormatting>
  <conditionalFormatting sqref="A96">
    <cfRule type="duplicateValues" dxfId="15" priority="1"/>
  </conditionalFormatting>
  <conditionalFormatting sqref="E18">
    <cfRule type="duplicateValues" dxfId="14" priority="73"/>
  </conditionalFormatting>
  <conditionalFormatting sqref="E19">
    <cfRule type="duplicateValues" dxfId="13" priority="72"/>
  </conditionalFormatting>
  <conditionalFormatting sqref="E20">
    <cfRule type="duplicateValues" dxfId="12" priority="71"/>
  </conditionalFormatting>
  <conditionalFormatting sqref="E12:F12">
    <cfRule type="duplicateValues" dxfId="11" priority="98"/>
  </conditionalFormatting>
  <conditionalFormatting sqref="E13:F13">
    <cfRule type="duplicateValues" dxfId="10" priority="95"/>
    <cfRule type="duplicateValues" dxfId="9" priority="96"/>
  </conditionalFormatting>
  <conditionalFormatting sqref="E14:F14">
    <cfRule type="duplicateValues" dxfId="8" priority="93"/>
  </conditionalFormatting>
  <conditionalFormatting sqref="E16:F16">
    <cfRule type="duplicateValues" dxfId="7" priority="90"/>
  </conditionalFormatting>
  <conditionalFormatting sqref="E17:F17">
    <cfRule type="duplicateValues" dxfId="6" priority="88"/>
  </conditionalFormatting>
  <conditionalFormatting sqref="E21:F21">
    <cfRule type="duplicateValues" dxfId="5" priority="82"/>
  </conditionalFormatting>
  <conditionalFormatting sqref="E22:F22">
    <cfRule type="duplicateValues" dxfId="4" priority="80"/>
  </conditionalFormatting>
  <conditionalFormatting sqref="E23:F23">
    <cfRule type="duplicateValues" dxfId="3" priority="78"/>
  </conditionalFormatting>
  <conditionalFormatting sqref="F18">
    <cfRule type="duplicateValues" dxfId="2" priority="75"/>
  </conditionalFormatting>
  <conditionalFormatting sqref="F19">
    <cfRule type="duplicateValues" dxfId="1" priority="76"/>
  </conditionalFormatting>
  <conditionalFormatting sqref="F20">
    <cfRule type="duplicateValues" dxfId="0" priority="84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4E35-87A1-4A6E-8469-1BC45F828128}">
  <sheetPr codeName="Planilha4"/>
  <dimension ref="A1:U51"/>
  <sheetViews>
    <sheetView topLeftCell="A6" workbookViewId="0">
      <selection activeCell="B1" sqref="B1:B1048576"/>
    </sheetView>
  </sheetViews>
  <sheetFormatPr defaultRowHeight="14.45"/>
  <cols>
    <col min="1" max="1" width="5.7109375" customWidth="1"/>
    <col min="2" max="2" width="38" bestFit="1" customWidth="1"/>
    <col min="3" max="3" width="12" bestFit="1" customWidth="1"/>
    <col min="4" max="4" width="14.7109375" bestFit="1" customWidth="1"/>
    <col min="5" max="5" width="10.7109375" bestFit="1" customWidth="1"/>
    <col min="6" max="6" width="21.7109375" bestFit="1" customWidth="1"/>
    <col min="7" max="7" width="18.5703125" customWidth="1"/>
    <col min="8" max="8" width="22.7109375" customWidth="1"/>
    <col min="9" max="9" width="12.7109375" customWidth="1"/>
    <col min="10" max="11" width="18.28515625" customWidth="1"/>
  </cols>
  <sheetData>
    <row r="1" spans="1:21" ht="63" customHeight="1" thickBot="1">
      <c r="A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ht="19.899999999999999" customHeight="1" thickBot="1">
      <c r="A2" s="33"/>
      <c r="B2" s="156" t="s">
        <v>1460</v>
      </c>
      <c r="C2" s="157"/>
      <c r="D2" s="157"/>
      <c r="E2" s="157"/>
      <c r="F2" s="157"/>
      <c r="G2" s="157"/>
      <c r="H2" s="158"/>
      <c r="I2" s="34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ht="15.6" thickTop="1" thickBot="1">
      <c r="A3" s="33"/>
      <c r="B3" s="62" t="s">
        <v>1461</v>
      </c>
      <c r="C3" s="62" t="s">
        <v>1462</v>
      </c>
      <c r="D3" s="62" t="s">
        <v>1463</v>
      </c>
      <c r="E3" s="62" t="s">
        <v>1464</v>
      </c>
      <c r="F3" s="62" t="s">
        <v>1465</v>
      </c>
      <c r="G3" s="62" t="s">
        <v>1466</v>
      </c>
      <c r="H3" s="62" t="s">
        <v>1467</v>
      </c>
      <c r="I3" s="35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1:21" ht="15" thickBot="1">
      <c r="A4" s="33"/>
      <c r="B4" s="42" t="s">
        <v>1468</v>
      </c>
      <c r="C4" s="44">
        <v>3014420403</v>
      </c>
      <c r="D4" s="46">
        <v>37854</v>
      </c>
      <c r="E4" s="45">
        <v>45986</v>
      </c>
      <c r="F4" s="47">
        <v>45965</v>
      </c>
      <c r="G4" s="43" t="s">
        <v>1469</v>
      </c>
      <c r="H4" s="41" t="s">
        <v>1470</v>
      </c>
      <c r="I4" s="35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spans="1:21" ht="15" thickBot="1">
      <c r="A5" s="33"/>
      <c r="B5" s="42" t="s">
        <v>1471</v>
      </c>
      <c r="C5" s="44">
        <v>2182335135</v>
      </c>
      <c r="D5" s="46">
        <v>32569</v>
      </c>
      <c r="E5" s="45">
        <v>45978</v>
      </c>
      <c r="F5" s="47">
        <v>45943</v>
      </c>
      <c r="G5" s="43" t="s">
        <v>1469</v>
      </c>
      <c r="H5" s="41" t="s">
        <v>1470</v>
      </c>
      <c r="I5" s="35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 ht="15" thickBot="1">
      <c r="A6" s="33"/>
      <c r="B6" s="42" t="s">
        <v>1472</v>
      </c>
      <c r="C6" s="44">
        <v>3918018860</v>
      </c>
      <c r="D6" s="46">
        <v>44930</v>
      </c>
      <c r="E6" s="45">
        <v>48568</v>
      </c>
      <c r="F6" s="47">
        <v>45840</v>
      </c>
      <c r="G6" s="43" t="s">
        <v>1469</v>
      </c>
      <c r="H6" s="41" t="s">
        <v>1470</v>
      </c>
      <c r="I6" s="35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spans="1:21" ht="15" thickBot="1">
      <c r="A7" s="33"/>
      <c r="B7" s="42" t="s">
        <v>1473</v>
      </c>
      <c r="C7" s="44">
        <v>2623670313</v>
      </c>
      <c r="D7" s="46">
        <v>44838</v>
      </c>
      <c r="E7" s="45">
        <v>46635</v>
      </c>
      <c r="F7" s="47">
        <v>45748</v>
      </c>
      <c r="G7" s="43" t="s">
        <v>1469</v>
      </c>
      <c r="H7" s="41" t="s">
        <v>1470</v>
      </c>
      <c r="I7" s="35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1:21" ht="15" thickBot="1">
      <c r="A8" s="33"/>
      <c r="B8" s="42" t="s">
        <v>1474</v>
      </c>
      <c r="C8" s="44">
        <v>1599930667</v>
      </c>
      <c r="D8" s="46">
        <v>44470</v>
      </c>
      <c r="E8" s="45">
        <v>48099</v>
      </c>
      <c r="F8" s="47">
        <v>45798</v>
      </c>
      <c r="G8" s="43" t="s">
        <v>1469</v>
      </c>
      <c r="H8" s="41" t="s">
        <v>60</v>
      </c>
      <c r="I8" s="35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</row>
    <row r="9" spans="1:21" ht="15" thickBot="1">
      <c r="A9" s="33"/>
      <c r="B9" s="42" t="s">
        <v>1475</v>
      </c>
      <c r="C9" s="44">
        <v>3958218521</v>
      </c>
      <c r="D9" s="46">
        <v>44494</v>
      </c>
      <c r="E9" s="45">
        <v>48124</v>
      </c>
      <c r="F9" s="47">
        <v>46134</v>
      </c>
      <c r="G9" s="43" t="s">
        <v>1469</v>
      </c>
      <c r="H9" s="41" t="s">
        <v>60</v>
      </c>
      <c r="I9" s="35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</row>
    <row r="10" spans="1:21" ht="15" thickBot="1">
      <c r="A10" s="33"/>
      <c r="B10" s="42" t="s">
        <v>1476</v>
      </c>
      <c r="C10" s="44">
        <v>4753813680</v>
      </c>
      <c r="D10" s="46">
        <v>44848</v>
      </c>
      <c r="E10" s="45">
        <v>48497</v>
      </c>
      <c r="F10" s="47">
        <v>45930</v>
      </c>
      <c r="G10" s="43" t="s">
        <v>1469</v>
      </c>
      <c r="H10" s="41" t="s">
        <v>60</v>
      </c>
      <c r="I10" s="35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</row>
    <row r="11" spans="1:21" ht="15" thickBot="1">
      <c r="A11" s="33"/>
      <c r="B11" s="42" t="s">
        <v>1477</v>
      </c>
      <c r="C11" s="44">
        <v>1680405910</v>
      </c>
      <c r="D11" s="46">
        <v>44312</v>
      </c>
      <c r="E11" s="45">
        <v>45971</v>
      </c>
      <c r="F11" s="47">
        <v>45996</v>
      </c>
      <c r="G11" s="43" t="s">
        <v>1469</v>
      </c>
      <c r="H11" s="41" t="s">
        <v>60</v>
      </c>
      <c r="I11" s="35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</row>
    <row r="12" spans="1:21" ht="15" thickBot="1">
      <c r="A12" s="33"/>
      <c r="B12" s="42" t="s">
        <v>1478</v>
      </c>
      <c r="C12" s="44">
        <v>4235721929</v>
      </c>
      <c r="D12" s="46">
        <v>42783</v>
      </c>
      <c r="E12" s="45">
        <v>45998</v>
      </c>
      <c r="F12" s="47">
        <v>46198</v>
      </c>
      <c r="G12" s="43" t="s">
        <v>1469</v>
      </c>
      <c r="H12" s="41" t="s">
        <v>60</v>
      </c>
      <c r="I12" s="35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</row>
    <row r="13" spans="1:21" ht="15" thickBot="1">
      <c r="A13" s="33"/>
      <c r="B13" s="42" t="s">
        <v>1479</v>
      </c>
      <c r="C13" s="44">
        <v>593945360</v>
      </c>
      <c r="D13" s="46">
        <v>44875</v>
      </c>
      <c r="E13" s="45">
        <v>46700</v>
      </c>
      <c r="F13" s="47">
        <v>46196</v>
      </c>
      <c r="G13" s="43" t="s">
        <v>1469</v>
      </c>
      <c r="H13" s="41" t="s">
        <v>60</v>
      </c>
      <c r="I13" s="35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</row>
    <row r="14" spans="1:21" ht="15" thickBot="1">
      <c r="A14" s="33"/>
      <c r="B14" s="42" t="s">
        <v>1480</v>
      </c>
      <c r="C14" s="44">
        <v>4640872562</v>
      </c>
      <c r="D14" s="46">
        <v>39945</v>
      </c>
      <c r="E14" s="45">
        <v>47995</v>
      </c>
      <c r="F14" s="47">
        <v>46267</v>
      </c>
      <c r="G14" s="43" t="s">
        <v>1469</v>
      </c>
      <c r="H14" s="41" t="s">
        <v>60</v>
      </c>
      <c r="I14" s="35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1:21" ht="15" thickBot="1">
      <c r="A15" s="33"/>
      <c r="B15" s="42" t="s">
        <v>1481</v>
      </c>
      <c r="C15" s="44">
        <v>882951029</v>
      </c>
      <c r="D15" s="46">
        <v>45589</v>
      </c>
      <c r="E15" s="45">
        <v>49202</v>
      </c>
      <c r="F15" s="47">
        <v>46196</v>
      </c>
      <c r="G15" s="43" t="s">
        <v>1469</v>
      </c>
      <c r="H15" s="41" t="s">
        <v>60</v>
      </c>
      <c r="I15" s="3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</row>
    <row r="16" spans="1:21" ht="15" thickBot="1">
      <c r="A16" s="33"/>
      <c r="B16" s="42" t="s">
        <v>1482</v>
      </c>
      <c r="C16" s="44">
        <v>5465086442</v>
      </c>
      <c r="D16" s="46">
        <v>45345</v>
      </c>
      <c r="E16" s="45">
        <v>45986</v>
      </c>
      <c r="F16" s="47" t="s">
        <v>60</v>
      </c>
      <c r="G16" s="43" t="s">
        <v>60</v>
      </c>
      <c r="H16" s="41" t="s">
        <v>60</v>
      </c>
      <c r="I16" s="35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</row>
    <row r="17" spans="1:21" ht="15" thickBot="1">
      <c r="A17" s="33"/>
      <c r="B17" s="42" t="s">
        <v>1483</v>
      </c>
      <c r="C17" s="44">
        <v>1417930017</v>
      </c>
      <c r="D17" s="46">
        <v>45202</v>
      </c>
      <c r="E17" s="45">
        <v>46291</v>
      </c>
      <c r="F17" s="47" t="s">
        <v>1484</v>
      </c>
      <c r="G17" s="43" t="s">
        <v>60</v>
      </c>
      <c r="H17" s="41" t="s">
        <v>60</v>
      </c>
      <c r="I17" s="3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</row>
    <row r="18" spans="1:21" ht="15" thickBot="1">
      <c r="A18" s="33"/>
      <c r="B18" s="42" t="s">
        <v>1485</v>
      </c>
      <c r="C18" s="44">
        <v>4962815875</v>
      </c>
      <c r="D18" s="46">
        <v>31596</v>
      </c>
      <c r="E18" s="45">
        <v>45886</v>
      </c>
      <c r="F18" s="47" t="s">
        <v>1484</v>
      </c>
      <c r="G18" s="43" t="s">
        <v>60</v>
      </c>
      <c r="H18" s="41" t="s">
        <v>60</v>
      </c>
      <c r="I18" s="35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</row>
    <row r="19" spans="1:21" ht="15" thickBot="1">
      <c r="A19" s="33"/>
      <c r="B19" s="42" t="s">
        <v>1486</v>
      </c>
      <c r="C19" s="44">
        <v>3398002008</v>
      </c>
      <c r="D19" s="46">
        <v>38094</v>
      </c>
      <c r="E19" s="45">
        <v>49087</v>
      </c>
      <c r="F19" s="47" t="s">
        <v>1484</v>
      </c>
      <c r="G19" s="43" t="s">
        <v>60</v>
      </c>
      <c r="H19" s="41" t="s">
        <v>60</v>
      </c>
      <c r="I19" s="35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</row>
    <row r="20" spans="1:21" ht="15" thickBot="1">
      <c r="A20" s="33"/>
      <c r="B20" s="42" t="s">
        <v>1487</v>
      </c>
      <c r="C20" s="44">
        <v>7567858820</v>
      </c>
      <c r="D20" s="46">
        <v>45863</v>
      </c>
      <c r="E20" s="45">
        <v>45862</v>
      </c>
      <c r="F20" s="47" t="s">
        <v>1484</v>
      </c>
      <c r="G20" s="43" t="s">
        <v>60</v>
      </c>
      <c r="H20" s="41" t="s">
        <v>60</v>
      </c>
      <c r="I20" s="35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</row>
    <row r="21" spans="1:21" ht="15" thickBot="1">
      <c r="A21" s="33"/>
      <c r="B21" s="42" t="s">
        <v>1488</v>
      </c>
      <c r="C21" s="44">
        <v>2583278938</v>
      </c>
      <c r="D21" s="46">
        <v>44770</v>
      </c>
      <c r="E21" s="45">
        <v>46593</v>
      </c>
      <c r="F21" s="47" t="s">
        <v>1484</v>
      </c>
      <c r="G21" s="43" t="s">
        <v>60</v>
      </c>
      <c r="H21" s="41" t="s">
        <v>60</v>
      </c>
      <c r="I21" s="35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</row>
    <row r="22" spans="1:21" ht="15" thickBot="1">
      <c r="A22" s="33"/>
      <c r="B22" s="42" t="s">
        <v>1489</v>
      </c>
      <c r="C22" s="44">
        <v>1179007984</v>
      </c>
      <c r="D22" s="46">
        <v>45043</v>
      </c>
      <c r="E22" s="45">
        <v>46826</v>
      </c>
      <c r="F22" s="47" t="s">
        <v>1484</v>
      </c>
      <c r="G22" s="43" t="s">
        <v>60</v>
      </c>
      <c r="H22" s="41" t="s">
        <v>60</v>
      </c>
      <c r="I22" s="35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</row>
    <row r="23" spans="1:21" ht="15" thickBot="1">
      <c r="A23" s="33"/>
      <c r="B23" s="42" t="s">
        <v>1490</v>
      </c>
      <c r="C23" s="44">
        <v>4549270300</v>
      </c>
      <c r="D23" s="46">
        <v>44671</v>
      </c>
      <c r="E23" s="45">
        <v>48303</v>
      </c>
      <c r="F23" s="47" t="s">
        <v>60</v>
      </c>
      <c r="G23" s="43" t="s">
        <v>60</v>
      </c>
      <c r="H23" s="41" t="s">
        <v>60</v>
      </c>
      <c r="I23" s="35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</row>
    <row r="24" spans="1:21" ht="15" thickBot="1">
      <c r="A24" s="33"/>
      <c r="B24" s="42" t="s">
        <v>1491</v>
      </c>
      <c r="C24" s="44">
        <v>5076466597</v>
      </c>
      <c r="D24" s="46">
        <v>44460</v>
      </c>
      <c r="E24" s="45">
        <v>46279</v>
      </c>
      <c r="F24" s="47" t="s">
        <v>60</v>
      </c>
      <c r="G24" s="43" t="s">
        <v>60</v>
      </c>
      <c r="H24" s="41" t="s">
        <v>60</v>
      </c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 spans="1:21" ht="15" thickBot="1">
      <c r="A25" s="33"/>
      <c r="B25" s="42" t="s">
        <v>1492</v>
      </c>
      <c r="C25" s="44">
        <v>2302730187</v>
      </c>
      <c r="D25" s="46">
        <v>44763</v>
      </c>
      <c r="E25" s="45">
        <v>46588</v>
      </c>
      <c r="F25" s="47" t="s">
        <v>60</v>
      </c>
      <c r="G25" s="43" t="s">
        <v>60</v>
      </c>
      <c r="H25" s="41" t="s">
        <v>60</v>
      </c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  <row r="26" spans="1:21" ht="15" thickBot="1">
      <c r="A26" s="33"/>
      <c r="B26" s="42" t="s">
        <v>1493</v>
      </c>
      <c r="C26" s="44">
        <v>5526518246</v>
      </c>
      <c r="D26" s="46">
        <v>45287</v>
      </c>
      <c r="E26" s="45">
        <v>48918</v>
      </c>
      <c r="F26" s="47" t="s">
        <v>60</v>
      </c>
      <c r="G26" s="43" t="s">
        <v>60</v>
      </c>
      <c r="H26" s="41" t="s">
        <v>60</v>
      </c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 spans="1:2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</row>
    <row r="28" spans="1:2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  <row r="29" spans="1:2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  <row r="30" spans="1:2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</row>
    <row r="31" spans="1:2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</row>
    <row r="32" spans="1:2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</row>
    <row r="33" spans="1:2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</row>
    <row r="34" spans="1:2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</row>
    <row r="35" spans="1:2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</row>
    <row r="36" spans="1:2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</row>
    <row r="37" spans="1:2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</row>
    <row r="38" spans="1:2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</row>
    <row r="39" spans="1:2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</row>
    <row r="40" spans="1:2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</row>
    <row r="41" spans="1:2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</row>
    <row r="42" spans="1:2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</row>
    <row r="43" spans="1:2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</row>
    <row r="44" spans="1:2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</row>
    <row r="45" spans="1:2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</row>
    <row r="46" spans="1:2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</row>
    <row r="47" spans="1:2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</row>
    <row r="48" spans="1:2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</row>
    <row r="49" spans="1:2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</row>
    <row r="50" spans="1:2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</row>
    <row r="51" spans="1:21">
      <c r="A51" s="33"/>
    </row>
  </sheetData>
  <autoFilter ref="B3:H26" xr:uid="{F9124E35-87A1-4A6E-8469-1BC45F828128}"/>
  <mergeCells count="1">
    <mergeCell ref="B2:H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27D8-FB6A-4D01-8411-CA9334E5F688}">
  <sheetPr codeName="Planilha5"/>
  <dimension ref="B1:U29"/>
  <sheetViews>
    <sheetView showGridLines="0" topLeftCell="A3" workbookViewId="0">
      <selection activeCell="C7" sqref="C7:C9"/>
    </sheetView>
  </sheetViews>
  <sheetFormatPr defaultRowHeight="14.45"/>
  <cols>
    <col min="2" max="2" width="13.7109375" customWidth="1"/>
    <col min="3" max="3" width="29.85546875" customWidth="1"/>
    <col min="4" max="4" width="20.140625" customWidth="1"/>
    <col min="5" max="5" width="22.85546875" customWidth="1"/>
    <col min="6" max="6" width="21.85546875" bestFit="1" customWidth="1"/>
    <col min="7" max="7" width="13.85546875" customWidth="1"/>
    <col min="8" max="8" width="13.140625" customWidth="1"/>
    <col min="9" max="9" width="12.7109375" customWidth="1"/>
    <col min="10" max="11" width="18.28515625" customWidth="1"/>
  </cols>
  <sheetData>
    <row r="1" spans="2:21" ht="63" customHeight="1" thickBot="1"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2:21" ht="19.899999999999999" customHeight="1" thickBot="1">
      <c r="B2" s="159" t="s">
        <v>1494</v>
      </c>
      <c r="C2" s="160"/>
      <c r="D2" s="160"/>
      <c r="E2" s="160"/>
      <c r="F2" s="161"/>
      <c r="G2" s="34"/>
      <c r="H2" s="34"/>
      <c r="I2" s="34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2:21" ht="15" thickBot="1">
      <c r="B3" s="62" t="s">
        <v>1495</v>
      </c>
      <c r="C3" s="62" t="s">
        <v>1496</v>
      </c>
      <c r="D3" s="62" t="s">
        <v>1497</v>
      </c>
      <c r="E3" s="62" t="s">
        <v>1498</v>
      </c>
      <c r="F3" s="62" t="s">
        <v>1499</v>
      </c>
      <c r="G3" s="35"/>
      <c r="H3" s="35"/>
      <c r="I3" s="35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2:21" ht="15" thickBot="1">
      <c r="B4" s="48" t="s">
        <v>1500</v>
      </c>
      <c r="C4" s="50" t="s">
        <v>1501</v>
      </c>
      <c r="D4" s="49">
        <v>2025</v>
      </c>
      <c r="E4" s="51">
        <v>45961</v>
      </c>
      <c r="F4" s="50" t="s">
        <v>1502</v>
      </c>
      <c r="G4" s="35"/>
      <c r="H4" s="35"/>
      <c r="I4" s="35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</row>
    <row r="5" spans="2:21" ht="15" thickBot="1">
      <c r="B5" s="48" t="s">
        <v>1503</v>
      </c>
      <c r="C5" s="50" t="s">
        <v>1504</v>
      </c>
      <c r="D5" s="49">
        <v>2025</v>
      </c>
      <c r="E5" s="51">
        <v>45961</v>
      </c>
      <c r="F5" s="50" t="s">
        <v>1505</v>
      </c>
      <c r="G5" s="35"/>
      <c r="H5" s="35"/>
      <c r="I5" s="35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2:21" ht="15" thickBot="1">
      <c r="B6" s="48" t="s">
        <v>1506</v>
      </c>
      <c r="C6" s="50" t="s">
        <v>1507</v>
      </c>
      <c r="D6" s="49">
        <v>2025</v>
      </c>
      <c r="E6" s="51">
        <v>45961</v>
      </c>
      <c r="F6" s="50" t="s">
        <v>1508</v>
      </c>
      <c r="G6" s="35"/>
      <c r="H6" s="35"/>
      <c r="I6" s="35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spans="2:21" ht="15" thickBot="1">
      <c r="B7" s="48" t="s">
        <v>1509</v>
      </c>
      <c r="C7" s="50" t="s">
        <v>1510</v>
      </c>
      <c r="D7" s="49">
        <v>2025</v>
      </c>
      <c r="E7" s="51">
        <v>45961</v>
      </c>
      <c r="F7" s="50" t="s">
        <v>1511</v>
      </c>
      <c r="G7" s="35"/>
      <c r="H7" s="35"/>
      <c r="I7" s="35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2:21" ht="15" thickBot="1">
      <c r="B8" s="48" t="s">
        <v>1512</v>
      </c>
      <c r="C8" s="50" t="s">
        <v>1513</v>
      </c>
      <c r="D8" s="49">
        <v>2025</v>
      </c>
      <c r="E8" s="51">
        <v>45961</v>
      </c>
      <c r="F8" s="50" t="s">
        <v>1514</v>
      </c>
      <c r="G8" s="35"/>
      <c r="H8" s="35"/>
      <c r="I8" s="35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</row>
    <row r="9" spans="2:21" ht="15" thickBot="1">
      <c r="B9" s="48" t="s">
        <v>1515</v>
      </c>
      <c r="C9" s="50" t="s">
        <v>1516</v>
      </c>
      <c r="D9" s="49">
        <v>2025</v>
      </c>
      <c r="E9" s="51">
        <v>45961</v>
      </c>
      <c r="F9" s="50" t="s">
        <v>1517</v>
      </c>
      <c r="G9" s="35"/>
      <c r="H9" s="35"/>
      <c r="I9" s="35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</row>
    <row r="10" spans="2:21" ht="15" thickBot="1">
      <c r="B10" s="48" t="s">
        <v>1518</v>
      </c>
      <c r="C10" s="50" t="s">
        <v>1519</v>
      </c>
      <c r="D10" s="49">
        <v>2025</v>
      </c>
      <c r="E10" s="51">
        <v>45900</v>
      </c>
      <c r="F10" s="50" t="s">
        <v>1520</v>
      </c>
      <c r="G10" s="35"/>
      <c r="H10" s="35"/>
      <c r="I10" s="35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</row>
    <row r="11" spans="2:21" ht="15" thickBot="1">
      <c r="B11" s="48" t="s">
        <v>1521</v>
      </c>
      <c r="C11" s="50" t="s">
        <v>1522</v>
      </c>
      <c r="D11" s="49">
        <v>2025</v>
      </c>
      <c r="E11" s="51">
        <v>45869</v>
      </c>
      <c r="F11" s="50" t="s">
        <v>1523</v>
      </c>
      <c r="G11" s="35"/>
      <c r="H11" s="35"/>
      <c r="I11" s="35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</row>
    <row r="12" spans="2:21" ht="15" thickBot="1">
      <c r="B12" s="48" t="s">
        <v>1524</v>
      </c>
      <c r="C12" s="50" t="s">
        <v>1525</v>
      </c>
      <c r="D12" s="49">
        <v>2025</v>
      </c>
      <c r="E12" s="51" t="s">
        <v>1526</v>
      </c>
      <c r="F12" s="50" t="s">
        <v>1527</v>
      </c>
      <c r="G12" s="35"/>
      <c r="H12" s="35"/>
      <c r="I12" s="35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</row>
    <row r="13" spans="2:21" ht="15" thickBot="1">
      <c r="B13" s="48" t="s">
        <v>1528</v>
      </c>
      <c r="C13" s="50" t="s">
        <v>1529</v>
      </c>
      <c r="D13" s="49">
        <v>2025</v>
      </c>
      <c r="E13" s="51" t="s">
        <v>1530</v>
      </c>
      <c r="F13" s="50" t="s">
        <v>1531</v>
      </c>
      <c r="G13" s="35"/>
      <c r="H13" s="35"/>
      <c r="I13" s="35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</row>
    <row r="14" spans="2:21" ht="15" thickBot="1">
      <c r="B14" s="48" t="s">
        <v>1532</v>
      </c>
      <c r="C14" s="50" t="s">
        <v>1533</v>
      </c>
      <c r="D14" s="49">
        <v>2025</v>
      </c>
      <c r="E14" s="51">
        <v>45900</v>
      </c>
      <c r="F14" s="50" t="s">
        <v>60</v>
      </c>
      <c r="G14" s="35"/>
      <c r="H14" s="35"/>
      <c r="I14" s="35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2:21" ht="15" thickBot="1">
      <c r="B15" s="48" t="s">
        <v>1534</v>
      </c>
      <c r="C15" s="50" t="s">
        <v>1535</v>
      </c>
      <c r="D15" s="49">
        <v>2025</v>
      </c>
      <c r="E15" s="51" t="s">
        <v>1536</v>
      </c>
      <c r="F15" s="50" t="s">
        <v>60</v>
      </c>
      <c r="G15" s="35"/>
      <c r="H15" s="35"/>
      <c r="I15" s="3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</row>
    <row r="16" spans="2:21" ht="15" thickBot="1">
      <c r="B16" s="48" t="s">
        <v>1537</v>
      </c>
      <c r="C16" s="50" t="s">
        <v>1538</v>
      </c>
      <c r="D16" s="49">
        <v>2025</v>
      </c>
      <c r="E16" s="51">
        <v>45900</v>
      </c>
      <c r="F16" s="50" t="s">
        <v>60</v>
      </c>
      <c r="G16" s="35"/>
      <c r="H16" s="35"/>
      <c r="I16" s="35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</row>
    <row r="17" spans="2:21" ht="15" thickBot="1">
      <c r="B17" s="48" t="s">
        <v>1539</v>
      </c>
      <c r="C17" s="50" t="s">
        <v>1540</v>
      </c>
      <c r="D17" s="49">
        <v>2025</v>
      </c>
      <c r="E17" s="51">
        <v>45808</v>
      </c>
      <c r="F17" s="50" t="s">
        <v>60</v>
      </c>
      <c r="G17" s="35"/>
      <c r="H17" s="35"/>
      <c r="I17" s="3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</row>
    <row r="18" spans="2:21" ht="15" thickBot="1">
      <c r="B18" s="48" t="s">
        <v>1541</v>
      </c>
      <c r="C18" s="50" t="s">
        <v>1542</v>
      </c>
      <c r="D18" s="49">
        <v>2025</v>
      </c>
      <c r="E18" s="51">
        <v>45930</v>
      </c>
      <c r="F18" s="50" t="s">
        <v>1484</v>
      </c>
      <c r="G18" s="35"/>
      <c r="H18" s="35"/>
      <c r="I18" s="35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</row>
    <row r="19" spans="2:21" ht="15" thickBot="1">
      <c r="B19" s="48" t="s">
        <v>1543</v>
      </c>
      <c r="C19" s="50" t="s">
        <v>1544</v>
      </c>
      <c r="D19" s="49">
        <v>2025</v>
      </c>
      <c r="E19" s="51">
        <v>45899</v>
      </c>
      <c r="F19" s="50" t="s">
        <v>60</v>
      </c>
      <c r="G19" s="35"/>
      <c r="H19" s="35"/>
      <c r="I19" s="35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</row>
    <row r="20" spans="2:21" ht="15" thickBot="1">
      <c r="B20" s="48" t="s">
        <v>1545</v>
      </c>
      <c r="C20" s="50" t="s">
        <v>1546</v>
      </c>
      <c r="D20" s="49">
        <v>2025</v>
      </c>
      <c r="E20" s="51" t="s">
        <v>1547</v>
      </c>
      <c r="F20" s="50" t="s">
        <v>60</v>
      </c>
      <c r="G20" s="35"/>
      <c r="H20" s="35"/>
      <c r="I20" s="35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</row>
    <row r="21" spans="2:21" ht="15" thickBot="1">
      <c r="B21" s="48" t="s">
        <v>1548</v>
      </c>
      <c r="C21" s="50" t="s">
        <v>1549</v>
      </c>
      <c r="D21" s="49">
        <v>2024</v>
      </c>
      <c r="E21" s="51">
        <v>45898</v>
      </c>
      <c r="F21" s="50" t="s">
        <v>60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</row>
    <row r="22" spans="2:21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</row>
    <row r="23" spans="2:21"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</row>
    <row r="24" spans="2:21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 spans="2:21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  <row r="26" spans="2:21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 spans="2:21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</row>
    <row r="28" spans="2:21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  <row r="29" spans="2:21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4:C21 F4:F5 F12:F13" numberStoredAsText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B33A-6C19-4A4C-BA59-183C23E65387}">
  <sheetPr codeName="Planilha6"/>
  <dimension ref="A1:X70"/>
  <sheetViews>
    <sheetView showGridLines="0" zoomScale="95" zoomScaleNormal="95" workbookViewId="0">
      <selection activeCell="C3" sqref="C3"/>
    </sheetView>
  </sheetViews>
  <sheetFormatPr defaultRowHeight="14.45"/>
  <cols>
    <col min="1" max="1" width="5.7109375" customWidth="1"/>
    <col min="2" max="2" width="12.42578125" customWidth="1"/>
    <col min="3" max="3" width="37.7109375" customWidth="1"/>
    <col min="4" max="4" width="12.5703125" bestFit="1" customWidth="1"/>
    <col min="5" max="5" width="14.7109375" customWidth="1"/>
    <col min="6" max="6" width="15.7109375" customWidth="1"/>
    <col min="7" max="7" width="9.42578125" customWidth="1"/>
    <col min="8" max="8" width="9.28515625" customWidth="1"/>
    <col min="9" max="9" width="9.5703125" customWidth="1"/>
    <col min="10" max="10" width="4.5703125" customWidth="1"/>
    <col min="11" max="11" width="13.140625" customWidth="1"/>
    <col min="12" max="12" width="12.7109375" customWidth="1"/>
    <col min="13" max="13" width="14" customWidth="1"/>
    <col min="14" max="14" width="8.28515625" customWidth="1"/>
  </cols>
  <sheetData>
    <row r="1" spans="1:24" ht="62.65" customHeight="1" thickBot="1">
      <c r="A1" s="33"/>
      <c r="C1" s="33"/>
      <c r="D1" s="6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15" thickBot="1">
      <c r="A2" s="33"/>
      <c r="B2" s="54" t="s">
        <v>2</v>
      </c>
      <c r="C2" s="54" t="s">
        <v>1550</v>
      </c>
      <c r="D2" s="54" t="s">
        <v>1462</v>
      </c>
      <c r="E2" s="54" t="s">
        <v>1551</v>
      </c>
      <c r="F2" s="54" t="s">
        <v>1466</v>
      </c>
      <c r="G2" s="54" t="s">
        <v>1552</v>
      </c>
      <c r="H2" s="54" t="s">
        <v>20</v>
      </c>
      <c r="I2" s="54" t="s">
        <v>21</v>
      </c>
      <c r="J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5.6" thickTop="1" thickBot="1">
      <c r="A3" s="33"/>
      <c r="B3" s="60" t="s">
        <v>1548</v>
      </c>
      <c r="C3" s="53" t="s">
        <v>1490</v>
      </c>
      <c r="D3" s="53">
        <v>4549270300</v>
      </c>
      <c r="E3" s="55" t="s">
        <v>60</v>
      </c>
      <c r="F3" s="53" t="s">
        <v>60</v>
      </c>
      <c r="G3" s="53" t="s">
        <v>60</v>
      </c>
      <c r="H3" s="53">
        <v>1</v>
      </c>
      <c r="I3" s="60" t="s">
        <v>1553</v>
      </c>
      <c r="J3" s="33"/>
      <c r="K3" s="36" t="s">
        <v>1554</v>
      </c>
      <c r="L3" s="37"/>
      <c r="M3" s="37"/>
      <c r="N3" s="38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5.6" thickTop="1" thickBot="1">
      <c r="A4" s="33"/>
      <c r="B4" s="60" t="s">
        <v>1534</v>
      </c>
      <c r="C4" s="53" t="s">
        <v>1481</v>
      </c>
      <c r="D4" s="53">
        <v>882951029</v>
      </c>
      <c r="E4" s="55">
        <v>46196</v>
      </c>
      <c r="F4" s="53" t="s">
        <v>1469</v>
      </c>
      <c r="G4" s="53" t="s">
        <v>60</v>
      </c>
      <c r="H4" s="53">
        <v>1</v>
      </c>
      <c r="I4" s="60" t="s">
        <v>1553</v>
      </c>
      <c r="J4" s="33"/>
      <c r="K4" s="52" t="s">
        <v>1555</v>
      </c>
      <c r="L4" s="52" t="s">
        <v>1556</v>
      </c>
      <c r="M4" s="52" t="s">
        <v>1557</v>
      </c>
      <c r="N4" s="52" t="s">
        <v>13</v>
      </c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5.6" thickTop="1" thickBot="1">
      <c r="A5" s="33"/>
      <c r="B5" s="60" t="s">
        <v>1558</v>
      </c>
      <c r="C5" s="53" t="s">
        <v>1491</v>
      </c>
      <c r="D5" s="53">
        <v>5076466597</v>
      </c>
      <c r="E5" s="55" t="s">
        <v>60</v>
      </c>
      <c r="F5" s="53" t="s">
        <v>60</v>
      </c>
      <c r="G5" s="53" t="s">
        <v>60</v>
      </c>
      <c r="H5" s="53">
        <v>2</v>
      </c>
      <c r="I5" s="60" t="s">
        <v>1553</v>
      </c>
      <c r="J5" s="33"/>
      <c r="K5" s="56">
        <v>14</v>
      </c>
      <c r="L5" s="57">
        <v>10</v>
      </c>
      <c r="M5" s="57">
        <v>5</v>
      </c>
      <c r="N5" s="57">
        <v>3</v>
      </c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5.6" thickTop="1" thickBot="1">
      <c r="A6" s="33"/>
      <c r="B6" s="60" t="s">
        <v>1500</v>
      </c>
      <c r="C6" s="53" t="s">
        <v>1468</v>
      </c>
      <c r="D6" s="53">
        <v>3014420403</v>
      </c>
      <c r="E6" s="55" t="s">
        <v>60</v>
      </c>
      <c r="F6" s="53" t="s">
        <v>60</v>
      </c>
      <c r="G6" s="53" t="s">
        <v>1470</v>
      </c>
      <c r="H6" s="53">
        <v>3</v>
      </c>
      <c r="I6" s="60" t="s">
        <v>1553</v>
      </c>
      <c r="J6" s="33"/>
      <c r="K6" s="39"/>
      <c r="L6" s="40"/>
      <c r="M6" s="59" t="s">
        <v>1559</v>
      </c>
      <c r="N6" s="58">
        <f>SUM(K5:N5)</f>
        <v>32</v>
      </c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5.6" thickTop="1" thickBot="1">
      <c r="A7" s="33"/>
      <c r="B7" s="60" t="s">
        <v>1528</v>
      </c>
      <c r="C7" s="53" t="s">
        <v>1479</v>
      </c>
      <c r="D7" s="53">
        <v>593945360</v>
      </c>
      <c r="E7" s="55">
        <v>46196</v>
      </c>
      <c r="F7" s="53" t="s">
        <v>1469</v>
      </c>
      <c r="G7" s="53" t="s">
        <v>60</v>
      </c>
      <c r="H7" s="53">
        <v>4</v>
      </c>
      <c r="I7" s="60" t="s">
        <v>1553</v>
      </c>
      <c r="J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5.6" thickTop="1" thickBot="1">
      <c r="A8" s="33"/>
      <c r="B8" s="60" t="s">
        <v>1503</v>
      </c>
      <c r="C8" s="53" t="s">
        <v>1471</v>
      </c>
      <c r="D8" s="53">
        <v>2182335135</v>
      </c>
      <c r="E8" s="55" t="s">
        <v>60</v>
      </c>
      <c r="F8" s="53" t="s">
        <v>60</v>
      </c>
      <c r="G8" s="53" t="s">
        <v>1470</v>
      </c>
      <c r="H8" s="53">
        <v>5</v>
      </c>
      <c r="I8" s="60" t="s">
        <v>1553</v>
      </c>
      <c r="J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5.6" thickTop="1" thickBot="1">
      <c r="A9" s="33"/>
      <c r="B9" s="60" t="s">
        <v>1560</v>
      </c>
      <c r="C9" s="53" t="s">
        <v>1474</v>
      </c>
      <c r="D9" s="53">
        <v>1599930667</v>
      </c>
      <c r="E9" s="55">
        <v>45798</v>
      </c>
      <c r="F9" s="53" t="s">
        <v>1469</v>
      </c>
      <c r="G9" s="53" t="s">
        <v>60</v>
      </c>
      <c r="H9" s="53">
        <v>5</v>
      </c>
      <c r="I9" s="60" t="s">
        <v>1553</v>
      </c>
      <c r="J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5.6" thickTop="1" thickBot="1">
      <c r="A10" s="33"/>
      <c r="B10" s="60" t="s">
        <v>1506</v>
      </c>
      <c r="C10" s="53" t="s">
        <v>1473</v>
      </c>
      <c r="D10" s="53">
        <v>2623670313</v>
      </c>
      <c r="E10" s="55" t="s">
        <v>60</v>
      </c>
      <c r="F10" s="53" t="s">
        <v>60</v>
      </c>
      <c r="G10" s="53" t="s">
        <v>1470</v>
      </c>
      <c r="H10" s="53">
        <v>6</v>
      </c>
      <c r="I10" s="60" t="s">
        <v>1553</v>
      </c>
      <c r="J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5.6" thickTop="1" thickBot="1">
      <c r="A11" s="33"/>
      <c r="B11" s="60" t="s">
        <v>1561</v>
      </c>
      <c r="C11" s="53" t="s">
        <v>1476</v>
      </c>
      <c r="D11" s="53">
        <v>4753813680</v>
      </c>
      <c r="E11" s="55">
        <v>45930</v>
      </c>
      <c r="F11" s="53" t="s">
        <v>1469</v>
      </c>
      <c r="G11" s="53" t="s">
        <v>60</v>
      </c>
      <c r="H11" s="53">
        <v>6</v>
      </c>
      <c r="I11" s="60" t="s">
        <v>1553</v>
      </c>
      <c r="J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5.6" thickTop="1" thickBot="1">
      <c r="A12" s="33"/>
      <c r="B12" s="60" t="s">
        <v>1534</v>
      </c>
      <c r="C12" s="53" t="s">
        <v>1483</v>
      </c>
      <c r="D12" s="53">
        <v>1417930017</v>
      </c>
      <c r="E12" s="55" t="s">
        <v>60</v>
      </c>
      <c r="F12" s="53" t="s">
        <v>60</v>
      </c>
      <c r="G12" s="53" t="s">
        <v>60</v>
      </c>
      <c r="H12" s="53">
        <v>7</v>
      </c>
      <c r="I12" s="60" t="s">
        <v>1553</v>
      </c>
      <c r="J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5.6" thickTop="1" thickBot="1">
      <c r="A13" s="33"/>
      <c r="B13" s="60" t="s">
        <v>1509</v>
      </c>
      <c r="C13" s="53" t="s">
        <v>1472</v>
      </c>
      <c r="D13" s="53">
        <v>3918018860</v>
      </c>
      <c r="E13" s="55" t="s">
        <v>60</v>
      </c>
      <c r="F13" s="53" t="s">
        <v>60</v>
      </c>
      <c r="G13" s="53" t="s">
        <v>1470</v>
      </c>
      <c r="H13" s="53">
        <v>8</v>
      </c>
      <c r="I13" s="60" t="s">
        <v>1553</v>
      </c>
      <c r="J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5.6" thickTop="1" thickBot="1">
      <c r="A14" s="33"/>
      <c r="B14" s="60" t="s">
        <v>1562</v>
      </c>
      <c r="C14" s="53" t="s">
        <v>1493</v>
      </c>
      <c r="D14" s="53">
        <v>5526518246</v>
      </c>
      <c r="E14" s="55" t="s">
        <v>60</v>
      </c>
      <c r="F14" s="53" t="s">
        <v>60</v>
      </c>
      <c r="G14" s="53" t="s">
        <v>60</v>
      </c>
      <c r="H14" s="53">
        <v>8</v>
      </c>
      <c r="I14" s="60" t="s">
        <v>1553</v>
      </c>
      <c r="J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5.6" thickTop="1" thickBot="1">
      <c r="A15" s="33"/>
      <c r="B15" s="60" t="s">
        <v>1532</v>
      </c>
      <c r="C15" s="53" t="s">
        <v>1482</v>
      </c>
      <c r="D15" s="53">
        <v>5465086442</v>
      </c>
      <c r="E15" s="55" t="s">
        <v>60</v>
      </c>
      <c r="F15" s="53" t="s">
        <v>60</v>
      </c>
      <c r="G15" s="53" t="s">
        <v>60</v>
      </c>
      <c r="H15" s="53">
        <v>9</v>
      </c>
      <c r="I15" s="61" t="s">
        <v>1553</v>
      </c>
      <c r="J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5.6" thickTop="1" thickBot="1">
      <c r="A16" s="33"/>
      <c r="B16" s="60" t="s">
        <v>1537</v>
      </c>
      <c r="C16" s="53" t="s">
        <v>1485</v>
      </c>
      <c r="D16" s="53">
        <v>4962815875</v>
      </c>
      <c r="E16" s="55" t="s">
        <v>60</v>
      </c>
      <c r="F16" s="53" t="s">
        <v>60</v>
      </c>
      <c r="G16" s="53" t="s">
        <v>60</v>
      </c>
      <c r="H16" s="53">
        <v>9</v>
      </c>
      <c r="I16" s="61" t="s">
        <v>1553</v>
      </c>
      <c r="J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5.6" thickTop="1" thickBot="1">
      <c r="A17" s="33"/>
      <c r="B17" s="60" t="s">
        <v>1563</v>
      </c>
      <c r="C17" s="53" t="s">
        <v>1492</v>
      </c>
      <c r="D17" s="53">
        <v>2302730187</v>
      </c>
      <c r="E17" s="55" t="s">
        <v>60</v>
      </c>
      <c r="F17" s="53" t="s">
        <v>60</v>
      </c>
      <c r="G17" s="53" t="s">
        <v>60</v>
      </c>
      <c r="H17" s="53">
        <v>1</v>
      </c>
      <c r="I17" s="61" t="s">
        <v>13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5.6" thickTop="1" thickBot="1">
      <c r="A18" s="33"/>
      <c r="B18" s="60" t="s">
        <v>1543</v>
      </c>
      <c r="C18" s="53" t="s">
        <v>1488</v>
      </c>
      <c r="D18" s="53">
        <v>2583278938</v>
      </c>
      <c r="E18" s="55" t="s">
        <v>60</v>
      </c>
      <c r="F18" s="53" t="s">
        <v>60</v>
      </c>
      <c r="G18" s="53" t="s">
        <v>60</v>
      </c>
      <c r="H18" s="53">
        <v>2</v>
      </c>
      <c r="I18" s="61" t="s">
        <v>13</v>
      </c>
      <c r="J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5.6" thickTop="1" thickBot="1">
      <c r="A19" s="33"/>
      <c r="B19" s="60" t="s">
        <v>1534</v>
      </c>
      <c r="C19" s="53" t="s">
        <v>1483</v>
      </c>
      <c r="D19" s="53">
        <v>1417930017</v>
      </c>
      <c r="E19" s="55" t="s">
        <v>60</v>
      </c>
      <c r="F19" s="53" t="s">
        <v>60</v>
      </c>
      <c r="G19" s="53" t="s">
        <v>60</v>
      </c>
      <c r="H19" s="53">
        <v>3</v>
      </c>
      <c r="I19" s="61" t="s">
        <v>13</v>
      </c>
      <c r="J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5.6" thickTop="1" thickBot="1">
      <c r="A20" s="33"/>
      <c r="B20" s="60" t="s">
        <v>1518</v>
      </c>
      <c r="C20" s="53" t="s">
        <v>1478</v>
      </c>
      <c r="D20" s="53">
        <v>4235721929</v>
      </c>
      <c r="E20" s="55">
        <v>46198</v>
      </c>
      <c r="F20" s="53" t="s">
        <v>1469</v>
      </c>
      <c r="G20" s="53" t="s">
        <v>60</v>
      </c>
      <c r="H20" s="53">
        <v>1</v>
      </c>
      <c r="I20" s="61" t="s">
        <v>1304</v>
      </c>
      <c r="J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5.6" thickTop="1" thickBot="1">
      <c r="A21" s="33"/>
      <c r="B21" s="60" t="s">
        <v>1539</v>
      </c>
      <c r="C21" s="53" t="s">
        <v>1486</v>
      </c>
      <c r="D21" s="53">
        <v>3398002008</v>
      </c>
      <c r="E21" s="55" t="s">
        <v>60</v>
      </c>
      <c r="F21" s="53" t="s">
        <v>60</v>
      </c>
      <c r="G21" s="53" t="s">
        <v>60</v>
      </c>
      <c r="H21" s="53">
        <v>1</v>
      </c>
      <c r="I21" s="61" t="s">
        <v>1304</v>
      </c>
      <c r="J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5.6" thickTop="1" thickBot="1">
      <c r="A22" s="33"/>
      <c r="B22" s="60" t="s">
        <v>1541</v>
      </c>
      <c r="C22" s="53" t="s">
        <v>1487</v>
      </c>
      <c r="D22" s="53">
        <v>7567858820</v>
      </c>
      <c r="E22" s="55" t="s">
        <v>60</v>
      </c>
      <c r="F22" s="53" t="s">
        <v>60</v>
      </c>
      <c r="G22" s="53" t="s">
        <v>1564</v>
      </c>
      <c r="H22" s="53">
        <v>1</v>
      </c>
      <c r="I22" s="61" t="s">
        <v>1304</v>
      </c>
      <c r="J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5.6" thickTop="1" thickBot="1">
      <c r="A23" s="33"/>
      <c r="B23" s="60" t="s">
        <v>1565</v>
      </c>
      <c r="C23" s="53" t="s">
        <v>1477</v>
      </c>
      <c r="D23" s="53">
        <v>1680405910</v>
      </c>
      <c r="E23" s="55">
        <v>45996</v>
      </c>
      <c r="F23" s="53" t="s">
        <v>1469</v>
      </c>
      <c r="G23" s="53" t="s">
        <v>60</v>
      </c>
      <c r="H23" s="53">
        <v>2</v>
      </c>
      <c r="I23" s="61" t="s">
        <v>1304</v>
      </c>
      <c r="J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5.6" thickTop="1" thickBot="1">
      <c r="A24" s="33"/>
      <c r="B24" s="60" t="s">
        <v>1566</v>
      </c>
      <c r="C24" s="53" t="s">
        <v>1475</v>
      </c>
      <c r="D24" s="53">
        <v>3958218521</v>
      </c>
      <c r="E24" s="55">
        <v>46134</v>
      </c>
      <c r="F24" s="53" t="s">
        <v>1469</v>
      </c>
      <c r="G24" s="53" t="s">
        <v>60</v>
      </c>
      <c r="H24" s="53">
        <v>2</v>
      </c>
      <c r="I24" s="61" t="s">
        <v>1304</v>
      </c>
      <c r="J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5.6" thickTop="1" thickBot="1">
      <c r="A25" s="33"/>
      <c r="B25" s="60" t="s">
        <v>1524</v>
      </c>
      <c r="C25" s="53" t="s">
        <v>1480</v>
      </c>
      <c r="D25" s="53">
        <v>4640872562</v>
      </c>
      <c r="E25" s="55">
        <v>46267</v>
      </c>
      <c r="F25" s="53" t="s">
        <v>1469</v>
      </c>
      <c r="G25" s="53" t="s">
        <v>60</v>
      </c>
      <c r="H25" s="53">
        <v>3</v>
      </c>
      <c r="I25" s="61" t="s">
        <v>1304</v>
      </c>
      <c r="J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5.6" thickTop="1" thickBot="1">
      <c r="A26" s="33"/>
      <c r="B26" s="60" t="s">
        <v>1545</v>
      </c>
      <c r="C26" s="53" t="s">
        <v>1489</v>
      </c>
      <c r="D26" s="53">
        <v>1179007984</v>
      </c>
      <c r="E26" s="55" t="s">
        <v>60</v>
      </c>
      <c r="F26" s="53" t="s">
        <v>60</v>
      </c>
      <c r="G26" s="53" t="s">
        <v>1564</v>
      </c>
      <c r="H26" s="53">
        <v>3</v>
      </c>
      <c r="I26" s="61" t="s">
        <v>1304</v>
      </c>
      <c r="J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5.6" thickTop="1" thickBot="1">
      <c r="A27" s="33"/>
      <c r="B27" s="60" t="s">
        <v>1543</v>
      </c>
      <c r="C27" s="53" t="s">
        <v>1488</v>
      </c>
      <c r="D27" s="53">
        <v>2583278938</v>
      </c>
      <c r="E27" s="55" t="s">
        <v>60</v>
      </c>
      <c r="F27" s="53" t="s">
        <v>60</v>
      </c>
      <c r="G27" s="53" t="s">
        <v>60</v>
      </c>
      <c r="H27" s="53">
        <v>4</v>
      </c>
      <c r="I27" s="61" t="s">
        <v>1304</v>
      </c>
      <c r="J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5.6" thickTop="1" thickBot="1">
      <c r="A28" s="33"/>
      <c r="B28" s="60" t="s">
        <v>1537</v>
      </c>
      <c r="C28" s="53" t="s">
        <v>1485</v>
      </c>
      <c r="D28" s="53">
        <v>4962815875</v>
      </c>
      <c r="E28" s="55" t="s">
        <v>60</v>
      </c>
      <c r="F28" s="53" t="s">
        <v>60</v>
      </c>
      <c r="G28" s="53" t="s">
        <v>60</v>
      </c>
      <c r="H28" s="53">
        <v>5</v>
      </c>
      <c r="I28" s="61" t="s">
        <v>1304</v>
      </c>
      <c r="J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15.6" thickTop="1" thickBot="1">
      <c r="A29" s="33"/>
      <c r="B29" s="60" t="s">
        <v>1548</v>
      </c>
      <c r="C29" s="53" t="s">
        <v>1490</v>
      </c>
      <c r="D29" s="53">
        <v>4549270300</v>
      </c>
      <c r="E29" s="55" t="s">
        <v>60</v>
      </c>
      <c r="F29" s="53" t="s">
        <v>60</v>
      </c>
      <c r="G29" s="53" t="s">
        <v>60</v>
      </c>
      <c r="H29" s="53">
        <v>5</v>
      </c>
      <c r="I29" s="61" t="s">
        <v>1304</v>
      </c>
      <c r="J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15.6" thickTop="1" thickBot="1">
      <c r="A30" s="33"/>
      <c r="B30" s="60" t="s">
        <v>1500</v>
      </c>
      <c r="C30" s="53" t="s">
        <v>1468</v>
      </c>
      <c r="D30" s="53">
        <v>3014420403</v>
      </c>
      <c r="E30" s="55" t="s">
        <v>60</v>
      </c>
      <c r="F30" s="53" t="s">
        <v>60</v>
      </c>
      <c r="G30" s="53" t="s">
        <v>1470</v>
      </c>
      <c r="H30" s="53">
        <v>1</v>
      </c>
      <c r="I30" s="61" t="s">
        <v>1567</v>
      </c>
      <c r="J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5.6" thickTop="1" thickBot="1">
      <c r="A31" s="33"/>
      <c r="B31" s="60" t="s">
        <v>1503</v>
      </c>
      <c r="C31" s="53" t="s">
        <v>1471</v>
      </c>
      <c r="D31" s="53">
        <v>2182335135</v>
      </c>
      <c r="E31" s="55" t="s">
        <v>60</v>
      </c>
      <c r="F31" s="53" t="s">
        <v>60</v>
      </c>
      <c r="G31" s="53" t="s">
        <v>1470</v>
      </c>
      <c r="H31" s="53">
        <v>1</v>
      </c>
      <c r="I31" s="61" t="s">
        <v>1567</v>
      </c>
      <c r="J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5.6" thickTop="1" thickBot="1">
      <c r="A32" s="33"/>
      <c r="B32" s="60" t="s">
        <v>1506</v>
      </c>
      <c r="C32" s="53" t="s">
        <v>1473</v>
      </c>
      <c r="D32" s="53">
        <v>2623670313</v>
      </c>
      <c r="E32" s="55" t="s">
        <v>60</v>
      </c>
      <c r="F32" s="53" t="s">
        <v>60</v>
      </c>
      <c r="G32" s="53" t="s">
        <v>1470</v>
      </c>
      <c r="H32" s="53">
        <v>2</v>
      </c>
      <c r="I32" s="61" t="s">
        <v>1567</v>
      </c>
      <c r="J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5.6" thickTop="1" thickBot="1">
      <c r="A33" s="33"/>
      <c r="B33" s="60" t="s">
        <v>1558</v>
      </c>
      <c r="C33" s="53" t="s">
        <v>1491</v>
      </c>
      <c r="D33" s="53">
        <v>5076466597</v>
      </c>
      <c r="E33" s="55" t="s">
        <v>60</v>
      </c>
      <c r="F33" s="53" t="s">
        <v>60</v>
      </c>
      <c r="G33" s="53" t="s">
        <v>60</v>
      </c>
      <c r="H33" s="53">
        <v>2</v>
      </c>
      <c r="I33" s="61" t="s">
        <v>1567</v>
      </c>
      <c r="J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5.6" thickTop="1" thickBot="1">
      <c r="A34" s="33"/>
      <c r="B34" s="60" t="s">
        <v>1534</v>
      </c>
      <c r="C34" s="53" t="s">
        <v>1483</v>
      </c>
      <c r="D34" s="53">
        <v>1417930017</v>
      </c>
      <c r="E34" s="55" t="s">
        <v>60</v>
      </c>
      <c r="F34" s="53" t="s">
        <v>60</v>
      </c>
      <c r="G34" s="53" t="s">
        <v>60</v>
      </c>
      <c r="H34" s="53">
        <v>2</v>
      </c>
      <c r="I34" s="61" t="s">
        <v>1567</v>
      </c>
      <c r="J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5" thickTop="1">
      <c r="A35" s="33"/>
      <c r="J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>
      <c r="A37" s="33"/>
      <c r="B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>
      <c r="A38" s="33"/>
      <c r="B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>
      <c r="A39" s="33"/>
      <c r="B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>
      <c r="A40" s="33"/>
      <c r="B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>
      <c r="A70" s="3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1121-6703-4A96-909C-3E5BC075A591}">
  <sheetPr codeName="Planilha8"/>
  <dimension ref="A1:S44"/>
  <sheetViews>
    <sheetView zoomScale="95" zoomScaleNormal="95" workbookViewId="0">
      <selection activeCell="G11" sqref="G11"/>
    </sheetView>
  </sheetViews>
  <sheetFormatPr defaultRowHeight="14.45"/>
  <cols>
    <col min="1" max="1" width="5.5703125" customWidth="1"/>
    <col min="2" max="2" width="19.7109375" customWidth="1"/>
    <col min="3" max="3" width="23" customWidth="1"/>
    <col min="4" max="4" width="21.5703125" customWidth="1"/>
    <col min="5" max="5" width="22.42578125" customWidth="1"/>
    <col min="6" max="6" width="13.140625" customWidth="1"/>
    <col min="7" max="7" width="12.7109375" customWidth="1"/>
    <col min="8" max="8" width="14" customWidth="1"/>
    <col min="9" max="9" width="8.28515625" customWidth="1"/>
  </cols>
  <sheetData>
    <row r="1" spans="1:19" ht="62.45" customHeight="1" thickBot="1">
      <c r="A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15.6" thickTop="1" thickBot="1">
      <c r="A2" s="33"/>
      <c r="B2" s="162" t="s">
        <v>1568</v>
      </c>
      <c r="C2" s="163"/>
      <c r="D2" s="163"/>
      <c r="E2" s="164"/>
      <c r="F2" s="35"/>
      <c r="G2" s="35"/>
      <c r="H2" s="35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9" ht="15.6" thickTop="1" thickBot="1">
      <c r="A3" s="33"/>
      <c r="B3" s="64" t="s">
        <v>1569</v>
      </c>
      <c r="C3" s="65" t="s">
        <v>1570</v>
      </c>
      <c r="D3" s="65" t="s">
        <v>1571</v>
      </c>
      <c r="E3" s="66" t="s">
        <v>1572</v>
      </c>
      <c r="F3" s="35"/>
      <c r="G3" s="35"/>
      <c r="H3" s="35"/>
      <c r="I3" s="35"/>
      <c r="J3" s="33"/>
      <c r="K3" s="33"/>
      <c r="L3" s="33"/>
      <c r="M3" s="33"/>
      <c r="N3" s="33"/>
      <c r="O3" s="33"/>
      <c r="P3" s="33"/>
      <c r="Q3" s="33"/>
      <c r="R3" s="33"/>
      <c r="S3" s="33"/>
    </row>
    <row r="4" spans="1:19" ht="15.6" thickTop="1" thickBot="1">
      <c r="A4" s="33"/>
      <c r="B4" s="83" t="s">
        <v>1573</v>
      </c>
      <c r="C4" s="83" t="s">
        <v>1574</v>
      </c>
      <c r="D4" s="53" t="s">
        <v>1575</v>
      </c>
      <c r="E4" s="84" t="s">
        <v>1576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</row>
    <row r="5" spans="1:19" ht="15.6" thickTop="1" thickBot="1">
      <c r="A5" s="33"/>
      <c r="B5" s="67"/>
      <c r="C5" s="68"/>
      <c r="D5" s="68"/>
      <c r="E5" s="69"/>
      <c r="F5" s="33"/>
      <c r="G5" s="33"/>
      <c r="H5" s="35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ht="15" thickTop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1:19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1:19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19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</row>
    <row r="10" spans="1:19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</row>
    <row r="11" spans="1:19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</row>
    <row r="12" spans="1:19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</row>
    <row r="13" spans="1:19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</row>
    <row r="14" spans="1:19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 spans="1:19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19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 spans="1:19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1:19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1:19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1:19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1:19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1:19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</row>
    <row r="26" spans="1:19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spans="1:19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</row>
    <row r="28" spans="1:19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</row>
    <row r="29" spans="1:1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</row>
    <row r="31" spans="1:19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</row>
    <row r="32" spans="1:19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</row>
    <row r="33" spans="1:19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</row>
    <row r="34" spans="1:19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</row>
    <row r="35" spans="1:19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</row>
    <row r="36" spans="1:19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</row>
    <row r="37" spans="1:19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</row>
    <row r="38" spans="1:19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</row>
    <row r="39" spans="1:1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</row>
    <row r="40" spans="1:19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</row>
    <row r="41" spans="1:19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</row>
    <row r="42" spans="1:19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</row>
    <row r="43" spans="1:19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</row>
    <row r="44" spans="1:19">
      <c r="A44" s="33"/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4650-D8E5-40C6-806D-673FE865ADAF}">
  <dimension ref="A2:C39"/>
  <sheetViews>
    <sheetView topLeftCell="A23" workbookViewId="0">
      <selection activeCell="A3" sqref="A3:B38"/>
    </sheetView>
  </sheetViews>
  <sheetFormatPr defaultRowHeight="15"/>
  <cols>
    <col min="1" max="1" width="42.7109375" bestFit="1" customWidth="1"/>
    <col min="2" max="2" width="24.42578125" bestFit="1" customWidth="1"/>
    <col min="3" max="3" width="19.42578125" bestFit="1" customWidth="1"/>
  </cols>
  <sheetData>
    <row r="2" spans="1:3">
      <c r="A2" s="145" t="s">
        <v>652</v>
      </c>
      <c r="B2" s="145" t="s">
        <v>657</v>
      </c>
      <c r="C2" t="s">
        <v>1577</v>
      </c>
    </row>
    <row r="3" spans="1:3">
      <c r="A3" t="s">
        <v>980</v>
      </c>
      <c r="B3" t="s">
        <v>983</v>
      </c>
      <c r="C3">
        <v>1</v>
      </c>
    </row>
    <row r="4" spans="1:3">
      <c r="A4" t="s">
        <v>1085</v>
      </c>
      <c r="B4" t="s">
        <v>1088</v>
      </c>
      <c r="C4">
        <v>1</v>
      </c>
    </row>
    <row r="5" spans="1:3">
      <c r="A5" t="s">
        <v>1092</v>
      </c>
      <c r="B5" t="s">
        <v>1095</v>
      </c>
      <c r="C5">
        <v>1</v>
      </c>
    </row>
    <row r="6" spans="1:3">
      <c r="A6" t="s">
        <v>1073</v>
      </c>
      <c r="B6" t="s">
        <v>1017</v>
      </c>
      <c r="C6">
        <v>1</v>
      </c>
    </row>
    <row r="7" spans="1:3">
      <c r="A7" t="s">
        <v>887</v>
      </c>
      <c r="B7" t="s">
        <v>883</v>
      </c>
      <c r="C7">
        <v>2</v>
      </c>
    </row>
    <row r="8" spans="1:3">
      <c r="A8" t="s">
        <v>1077</v>
      </c>
      <c r="B8" t="s">
        <v>1080</v>
      </c>
      <c r="C8">
        <v>1</v>
      </c>
    </row>
    <row r="9" spans="1:3">
      <c r="A9" t="s">
        <v>934</v>
      </c>
      <c r="B9" t="s">
        <v>937</v>
      </c>
      <c r="C9">
        <v>2</v>
      </c>
    </row>
    <row r="10" spans="1:3">
      <c r="B10" t="s">
        <v>990</v>
      </c>
      <c r="C10">
        <v>4</v>
      </c>
    </row>
    <row r="11" spans="1:3">
      <c r="A11" t="s">
        <v>685</v>
      </c>
      <c r="B11" t="s">
        <v>786</v>
      </c>
      <c r="C11">
        <v>16</v>
      </c>
    </row>
    <row r="12" spans="1:3">
      <c r="B12" t="s">
        <v>732</v>
      </c>
      <c r="C12">
        <v>10</v>
      </c>
    </row>
    <row r="13" spans="1:3">
      <c r="B13" t="s">
        <v>673</v>
      </c>
      <c r="C13">
        <v>5</v>
      </c>
    </row>
    <row r="14" spans="1:3">
      <c r="B14" t="s">
        <v>945</v>
      </c>
      <c r="C14">
        <v>1</v>
      </c>
    </row>
    <row r="15" spans="1:3">
      <c r="B15" t="s">
        <v>708</v>
      </c>
      <c r="C15">
        <v>4</v>
      </c>
    </row>
    <row r="16" spans="1:3">
      <c r="A16" t="s">
        <v>891</v>
      </c>
      <c r="B16" t="s">
        <v>883</v>
      </c>
      <c r="C16">
        <v>1</v>
      </c>
    </row>
    <row r="17" spans="1:3">
      <c r="A17" t="s">
        <v>1027</v>
      </c>
      <c r="B17" t="s">
        <v>1017</v>
      </c>
      <c r="C17">
        <v>1</v>
      </c>
    </row>
    <row r="18" spans="1:3">
      <c r="A18" t="s">
        <v>1053</v>
      </c>
      <c r="B18" t="s">
        <v>1017</v>
      </c>
      <c r="C18">
        <v>1</v>
      </c>
    </row>
    <row r="19" spans="1:3">
      <c r="A19" t="s">
        <v>962</v>
      </c>
      <c r="B19" t="s">
        <v>959</v>
      </c>
      <c r="C19">
        <v>1</v>
      </c>
    </row>
    <row r="20" spans="1:3">
      <c r="B20" t="s">
        <v>1010</v>
      </c>
      <c r="C20">
        <v>1</v>
      </c>
    </row>
    <row r="21" spans="1:3">
      <c r="A21" t="s">
        <v>987</v>
      </c>
      <c r="B21" t="s">
        <v>990</v>
      </c>
      <c r="C21">
        <v>1</v>
      </c>
    </row>
    <row r="22" spans="1:3">
      <c r="A22" t="s">
        <v>1061</v>
      </c>
      <c r="B22" t="s">
        <v>1017</v>
      </c>
      <c r="C22">
        <v>1</v>
      </c>
    </row>
    <row r="23" spans="1:3">
      <c r="A23" t="s">
        <v>669</v>
      </c>
      <c r="B23" t="s">
        <v>786</v>
      </c>
      <c r="C23">
        <v>15</v>
      </c>
    </row>
    <row r="24" spans="1:3">
      <c r="B24" t="s">
        <v>732</v>
      </c>
      <c r="C24">
        <v>5</v>
      </c>
    </row>
    <row r="25" spans="1:3">
      <c r="B25" t="s">
        <v>673</v>
      </c>
      <c r="C25">
        <v>4</v>
      </c>
    </row>
    <row r="26" spans="1:3">
      <c r="B26" t="s">
        <v>945</v>
      </c>
      <c r="C26">
        <v>3</v>
      </c>
    </row>
    <row r="27" spans="1:3">
      <c r="B27" t="s">
        <v>708</v>
      </c>
      <c r="C27">
        <v>3</v>
      </c>
    </row>
    <row r="28" spans="1:3">
      <c r="A28" t="s">
        <v>756</v>
      </c>
      <c r="B28" t="s">
        <v>959</v>
      </c>
      <c r="C28">
        <v>1</v>
      </c>
    </row>
    <row r="29" spans="1:3">
      <c r="B29" t="s">
        <v>732</v>
      </c>
      <c r="C29">
        <v>1</v>
      </c>
    </row>
    <row r="30" spans="1:3">
      <c r="A30" t="s">
        <v>916</v>
      </c>
      <c r="B30" t="s">
        <v>919</v>
      </c>
      <c r="C30">
        <v>4</v>
      </c>
    </row>
    <row r="31" spans="1:3">
      <c r="A31" t="s">
        <v>993</v>
      </c>
      <c r="B31" t="s">
        <v>990</v>
      </c>
      <c r="C31">
        <v>1</v>
      </c>
    </row>
    <row r="32" spans="1:3">
      <c r="A32" t="s">
        <v>897</v>
      </c>
      <c r="B32" t="s">
        <v>883</v>
      </c>
      <c r="C32">
        <v>1</v>
      </c>
    </row>
    <row r="33" spans="1:3">
      <c r="A33" t="s">
        <v>881</v>
      </c>
      <c r="B33" t="s">
        <v>883</v>
      </c>
      <c r="C33">
        <v>6</v>
      </c>
    </row>
    <row r="34" spans="1:3">
      <c r="A34" t="s">
        <v>1035</v>
      </c>
      <c r="B34" t="s">
        <v>1017</v>
      </c>
      <c r="C34">
        <v>7</v>
      </c>
    </row>
    <row r="35" spans="1:3">
      <c r="A35" t="s">
        <v>1014</v>
      </c>
      <c r="B35" t="s">
        <v>1017</v>
      </c>
      <c r="C35">
        <v>2</v>
      </c>
    </row>
    <row r="36" spans="1:3">
      <c r="A36" t="s">
        <v>1020</v>
      </c>
      <c r="B36" t="s">
        <v>1017</v>
      </c>
      <c r="C36">
        <v>3</v>
      </c>
    </row>
    <row r="37" spans="1:3">
      <c r="A37" t="s">
        <v>1023</v>
      </c>
      <c r="B37" t="s">
        <v>1017</v>
      </c>
      <c r="C37">
        <v>1</v>
      </c>
    </row>
    <row r="38" spans="1:3">
      <c r="A38" t="s">
        <v>968</v>
      </c>
      <c r="B38" t="s">
        <v>970</v>
      </c>
      <c r="C38">
        <v>2</v>
      </c>
    </row>
    <row r="39" spans="1:3">
      <c r="A39" t="s">
        <v>1578</v>
      </c>
      <c r="C39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21EE-DDA8-4834-AF63-CB990BBA04EF}">
  <dimension ref="A2:B8"/>
  <sheetViews>
    <sheetView topLeftCell="A2" workbookViewId="0">
      <selection activeCell="B3" sqref="B3:B5"/>
    </sheetView>
  </sheetViews>
  <sheetFormatPr defaultRowHeight="15"/>
  <cols>
    <col min="1" max="1" width="11" bestFit="1" customWidth="1"/>
    <col min="2" max="2" width="12.85546875" bestFit="1" customWidth="1"/>
  </cols>
  <sheetData>
    <row r="2" spans="1:2">
      <c r="A2" s="145" t="s">
        <v>19</v>
      </c>
      <c r="B2" s="145" t="s">
        <v>25</v>
      </c>
    </row>
    <row r="3" spans="1:2">
      <c r="A3" t="s">
        <v>1579</v>
      </c>
      <c r="B3" t="s">
        <v>130</v>
      </c>
    </row>
    <row r="4" spans="1:2">
      <c r="B4" t="s">
        <v>86</v>
      </c>
    </row>
    <row r="5" spans="1:2">
      <c r="B5" t="s">
        <v>322</v>
      </c>
    </row>
    <row r="6" spans="1:2">
      <c r="B6" t="s">
        <v>42</v>
      </c>
    </row>
    <row r="7" spans="1:2">
      <c r="A7" t="s">
        <v>1580</v>
      </c>
    </row>
    <row r="8" spans="1:2">
      <c r="A8" t="s">
        <v>1578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6dd8ac-4dd7-460b-8ab1-4acb79370f3f">
      <Terms xmlns="http://schemas.microsoft.com/office/infopath/2007/PartnerControls"/>
    </lcf76f155ced4ddcb4097134ff3c332f>
    <TaxCatchAll xmlns="65c259b0-7c70-473e-9f31-0c190e2c9abf" xsi:nil="true"/>
    <_Flow_SignoffStatus xmlns="8f6dd8ac-4dd7-460b-8ab1-4acb79370f3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4E96E225AAB74185229045D1CD276F" ma:contentTypeVersion="18" ma:contentTypeDescription="Crie um novo documento." ma:contentTypeScope="" ma:versionID="88e8149c89b59c8eb4d23ad57706717d">
  <xsd:schema xmlns:xsd="http://www.w3.org/2001/XMLSchema" xmlns:xs="http://www.w3.org/2001/XMLSchema" xmlns:p="http://schemas.microsoft.com/office/2006/metadata/properties" xmlns:ns2="8f6dd8ac-4dd7-460b-8ab1-4acb79370f3f" xmlns:ns3="65c259b0-7c70-473e-9f31-0c190e2c9abf" targetNamespace="http://schemas.microsoft.com/office/2006/metadata/properties" ma:root="true" ma:fieldsID="fbd246ea269c17b120a4c0f8e9b18fcb" ns2:_="" ns3:_="">
    <xsd:import namespace="8f6dd8ac-4dd7-460b-8ab1-4acb79370f3f"/>
    <xsd:import namespace="65c259b0-7c70-473e-9f31-0c190e2c9a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dd8ac-4dd7-460b-8ab1-4acb79370f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b9ae8bc6-2808-436b-8758-b62c6fb37c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4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259b0-7c70-473e-9f31-0c190e2c9ab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a08cd55-2d2b-4c15-bd52-385afd2004ff}" ma:internalName="TaxCatchAll" ma:showField="CatchAllData" ma:web="65c259b0-7c70-473e-9f31-0c190e2c9a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A28E26-0B51-41D8-9A14-847442AFEAF4}"/>
</file>

<file path=customXml/itemProps2.xml><?xml version="1.0" encoding="utf-8"?>
<ds:datastoreItem xmlns:ds="http://schemas.openxmlformats.org/officeDocument/2006/customXml" ds:itemID="{163B50BD-85C7-4BBE-BA8F-2976A736C3D9}"/>
</file>

<file path=customXml/itemProps3.xml><?xml version="1.0" encoding="utf-8"?>
<ds:datastoreItem xmlns:ds="http://schemas.openxmlformats.org/officeDocument/2006/customXml" ds:itemID="{480D5CBC-8B7D-4698-BBB1-2F672DC6C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2022-08-31T13:11:57Z</dcterms:created>
  <dcterms:modified xsi:type="dcterms:W3CDTF">2026-03-06T18:50:15Z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0x010100024E96E225AAB74185229045D1CD276F</vt:lpwstr>
  </property>
  <property fmtid="{D5CDD505-2E9C-101B-9397-08002B2CF9AE}" pid="3" name="MediaServiceImageTags">
    <vt:lpwstr/>
  </property>
  <property fmtid="{D5CDD505-2E9C-101B-9397-08002B2CF9AE}" pid="4" name="MSIP_Label_58532329-be11-4890-9a1f-358987518ed8_Enabled">
    <vt:lpwstr>true</vt:lpwstr>
  </property>
  <property fmtid="{D5CDD505-2E9C-101B-9397-08002B2CF9AE}" pid="5" name="MSIP_Label_58532329-be11-4890-9a1f-358987518ed8_SetDate">
    <vt:lpwstr>2025-11-05T14:36:50Z</vt:lpwstr>
  </property>
  <property fmtid="{D5CDD505-2E9C-101B-9397-08002B2CF9AE}" pid="6" name="MSIP_Label_58532329-be11-4890-9a1f-358987518ed8_Method">
    <vt:lpwstr>Privileged</vt:lpwstr>
  </property>
  <property fmtid="{D5CDD505-2E9C-101B-9397-08002B2CF9AE}" pid="7" name="MSIP_Label_58532329-be11-4890-9a1f-358987518ed8_Name">
    <vt:lpwstr>Internal</vt:lpwstr>
  </property>
  <property fmtid="{D5CDD505-2E9C-101B-9397-08002B2CF9AE}" pid="8" name="MSIP_Label_58532329-be11-4890-9a1f-358987518ed8_SiteId">
    <vt:lpwstr>42cc3295-cd0e-449c-b98e-5ce5b560c1d3</vt:lpwstr>
  </property>
  <property fmtid="{D5CDD505-2E9C-101B-9397-08002B2CF9AE}" pid="9" name="MSIP_Label_58532329-be11-4890-9a1f-358987518ed8_ActionId">
    <vt:lpwstr>5b9a7eac-319f-4c37-80d0-237ea9c77db8</vt:lpwstr>
  </property>
  <property fmtid="{D5CDD505-2E9C-101B-9397-08002B2CF9AE}" pid="10" name="MSIP_Label_58532329-be11-4890-9a1f-358987518ed8_ContentBits">
    <vt:lpwstr>0</vt:lpwstr>
  </property>
  <property fmtid="{D5CDD505-2E9C-101B-9397-08002B2CF9AE}" pid="11" name="MSIP_Label_58532329-be11-4890-9a1f-358987518ed8_Tag">
    <vt:lpwstr>10, 0, 1, 1</vt:lpwstr>
  </property>
</Properties>
</file>